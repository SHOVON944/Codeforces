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📋 Courses" sheetId="2" state="visible" r:id="rId2"/>
    <sheet name="📊 Attendance" sheetId="3" state="visible" r:id="rId3"/>
    <sheet name="📖 Study Tracker" sheetId="4" state="visible" r:id="rId4"/>
    <sheet name="📝 Tasks" sheetId="5" state="visible" r:id="rId5"/>
    <sheet name="💸 Expenses" sheetId="6" state="visible" r:id="rId6"/>
    <sheet name="💰 Money Manager" sheetId="7" state="visible" r:id="rId7"/>
    <sheet name="🏆 CGPA" sheetId="8" state="visible" r:id="rId8"/>
    <sheet name="📅 Calendar" sheetId="9" state="visible" r:id="rId9"/>
    <sheet name="📑 Fee Manager" sheetId="10" state="visible" r:id="rId10"/>
    <sheet name="👤 My Detai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6">
    <font>
      <name val="Calibri"/>
      <family val="2"/>
      <color theme="1"/>
      <sz val="11"/>
      <scheme val="minor"/>
    </font>
    <font>
      <name val="Calibri"/>
      <b val="1"/>
      <color rgb="0000BFFF"/>
      <sz val="20"/>
    </font>
    <font>
      <name val="Calibri"/>
      <i val="1"/>
      <color rgb="008B949E"/>
      <sz val="11"/>
    </font>
    <font>
      <name val="Calibri"/>
      <color rgb="00FFD700"/>
      <sz val="10"/>
    </font>
    <font>
      <name val="Calibri"/>
      <b val="1"/>
      <color rgb="0000BFFF"/>
      <sz val="10"/>
    </font>
    <font>
      <name val="Calibri"/>
      <b val="1"/>
      <color rgb="00F8F8F2"/>
      <sz val="18"/>
    </font>
    <font>
      <name val="Calibri"/>
      <b val="1"/>
      <color rgb="0000FF88"/>
      <sz val="10"/>
    </font>
    <font>
      <name val="Calibri"/>
      <b val="1"/>
      <color rgb="00FFD700"/>
      <sz val="10"/>
    </font>
    <font>
      <name val="Calibri"/>
      <b val="1"/>
      <color rgb="00FFB86C"/>
      <sz val="10"/>
    </font>
    <font>
      <name val="Calibri"/>
      <b val="1"/>
      <color rgb="00BD93F9"/>
      <sz val="10"/>
    </font>
    <font>
      <name val="Calibri"/>
      <b val="1"/>
      <color rgb="00FF4444"/>
      <sz val="10"/>
    </font>
    <font>
      <name val="Calibri"/>
      <b val="1"/>
      <color rgb="0000BFFF"/>
      <sz val="12"/>
    </font>
    <font>
      <name val="Calibri"/>
      <b val="1"/>
      <color rgb="0000FF88"/>
      <sz val="11"/>
    </font>
    <font>
      <name val="Calibri"/>
      <color rgb="008B949E"/>
      <sz val="10"/>
    </font>
    <font>
      <name val="Calibri"/>
      <b val="1"/>
      <color rgb="0000BFFF"/>
      <sz val="11"/>
    </font>
    <font>
      <name val="Calibri"/>
      <b val="1"/>
      <color rgb="00FFD700"/>
      <sz val="11"/>
    </font>
    <font>
      <name val="Calibri"/>
      <b val="1"/>
      <color rgb="00FFB86C"/>
      <sz val="11"/>
    </font>
    <font>
      <name val="Calibri"/>
      <b val="1"/>
      <color rgb="00FF4444"/>
      <sz val="11"/>
    </font>
    <font>
      <name val="Calibri"/>
      <b val="1"/>
      <color rgb="00BD93F9"/>
      <sz val="11"/>
    </font>
    <font>
      <name val="Calibri"/>
      <b val="1"/>
      <color rgb="00FF79C6"/>
      <sz val="11"/>
    </font>
    <font>
      <name val="Calibri"/>
      <b val="1"/>
      <color rgb="00F1C40F"/>
      <sz val="11"/>
    </font>
    <font>
      <name val="Calibri"/>
      <b val="1"/>
      <color rgb="0000FF88"/>
      <sz val="16"/>
    </font>
    <font>
      <name val="Calibri"/>
      <i val="1"/>
      <color rgb="008B949E"/>
      <sz val="10"/>
    </font>
    <font>
      <name val="Calibri"/>
      <b val="1"/>
      <color rgb="008B949E"/>
      <sz val="10"/>
    </font>
    <font>
      <name val="Calibri"/>
      <b val="1"/>
      <color rgb="003498DB"/>
      <sz val="10"/>
    </font>
    <font>
      <name val="Calibri"/>
      <b val="1"/>
      <color rgb="00FF79C6"/>
      <sz val="10"/>
    </font>
    <font>
      <name val="Calibri"/>
      <b val="1"/>
      <color rgb="001ABC9C"/>
      <sz val="10"/>
    </font>
    <font>
      <name val="Calibri"/>
      <b val="1"/>
      <color rgb="00F1C40F"/>
      <sz val="10"/>
    </font>
    <font>
      <name val="Calibri"/>
      <color rgb="00F8F8F2"/>
      <sz val="10"/>
    </font>
    <font>
      <name val="Calibri"/>
      <color rgb="0000BFFF"/>
      <sz val="10"/>
    </font>
    <font>
      <name val="Calibri"/>
      <color rgb="00FFB86C"/>
      <sz val="10"/>
    </font>
    <font>
      <name val="Calibri"/>
      <b val="1"/>
      <color rgb="00F8F8F2"/>
      <sz val="13"/>
    </font>
    <font>
      <name val="Calibri"/>
      <b val="1"/>
      <color rgb="0000BFFF"/>
      <sz val="16"/>
    </font>
    <font>
      <name val="Calibri"/>
      <b val="1"/>
      <color rgb="00F8F8F2"/>
      <sz val="10"/>
    </font>
    <font>
      <name val="Calibri"/>
      <b val="1"/>
      <color rgb="00FFD700"/>
      <sz val="16"/>
    </font>
    <font>
      <name val="Calibri"/>
      <b val="1"/>
      <color rgb="00FFD700"/>
      <sz val="12"/>
    </font>
    <font>
      <name val="Calibri"/>
      <b val="1"/>
      <color rgb="00FFB86C"/>
      <sz val="16"/>
    </font>
    <font>
      <name val="Calibri"/>
      <color rgb="003498DB"/>
      <sz val="10"/>
    </font>
    <font>
      <name val="Calibri"/>
      <b val="1"/>
      <color rgb="00FFB86C"/>
      <sz val="12"/>
    </font>
    <font>
      <name val="Calibri"/>
      <b val="1"/>
      <color rgb="00F8F8F2"/>
      <sz val="14"/>
    </font>
    <font>
      <name val="Calibri"/>
      <b val="1"/>
      <color rgb="00FF4444"/>
      <sz val="16"/>
    </font>
    <font>
      <name val="Calibri"/>
      <b val="1"/>
      <color rgb="00FF4444"/>
      <sz val="12"/>
    </font>
    <font>
      <name val="Calibri"/>
      <b val="1"/>
      <color rgb="00F1C40F"/>
      <sz val="13"/>
    </font>
    <font>
      <name val="Calibri"/>
      <b val="1"/>
      <color rgb="00FFD700"/>
      <sz val="13"/>
    </font>
    <font>
      <name val="Calibri"/>
      <color rgb="0000FF88"/>
      <sz val="10"/>
    </font>
    <font>
      <name val="Calibri"/>
      <b val="1"/>
      <color rgb="00F1C40F"/>
      <sz val="12"/>
    </font>
    <font>
      <name val="Calibri"/>
      <b val="1"/>
      <color rgb="0000BFFF"/>
      <sz val="13"/>
    </font>
    <font>
      <name val="Calibri"/>
      <b val="1"/>
      <color rgb="00BD93F9"/>
      <sz val="16"/>
    </font>
    <font>
      <name val="Calibri"/>
      <b val="1"/>
      <color rgb="003498DB"/>
      <sz val="9"/>
    </font>
    <font>
      <name val="Calibri"/>
      <b val="1"/>
      <color rgb="0000FF88"/>
      <sz val="9"/>
    </font>
    <font>
      <name val="Calibri"/>
      <b val="1"/>
      <color rgb="00FFD700"/>
      <sz val="9"/>
    </font>
    <font>
      <name val="Calibri"/>
      <b val="1"/>
      <color rgb="00FFB86C"/>
      <sz val="9"/>
    </font>
    <font>
      <name val="Calibri"/>
      <b val="1"/>
      <color rgb="0000BFFF"/>
      <sz val="9"/>
    </font>
    <font>
      <name val="Calibri"/>
      <b val="1"/>
      <color rgb="00FF79C6"/>
      <sz val="9"/>
    </font>
    <font>
      <name val="Calibri"/>
      <b val="1"/>
      <color rgb="001ABC9C"/>
      <sz val="9"/>
    </font>
    <font>
      <name val="Calibri"/>
      <b val="1"/>
      <color rgb="00F1C40F"/>
      <sz val="9"/>
    </font>
    <font>
      <name val="Calibri"/>
      <b val="1"/>
      <color rgb="00BD93F9"/>
      <sz val="9"/>
    </font>
    <font>
      <name val="Calibri"/>
      <b val="1"/>
      <color rgb="00FF4444"/>
      <sz val="9"/>
    </font>
    <font>
      <name val="Calibri"/>
      <b val="1"/>
      <color rgb="008B949E"/>
      <sz val="9"/>
    </font>
    <font>
      <name val="Calibri"/>
      <b val="1"/>
      <color rgb="00BD93F9"/>
      <sz val="13"/>
    </font>
    <font>
      <name val="Calibri"/>
      <b val="1"/>
      <color rgb="00BD93F9"/>
      <sz val="12"/>
    </font>
    <font>
      <name val="Calibri"/>
      <b val="1"/>
      <color rgb="00F1C40F"/>
      <sz val="14"/>
    </font>
    <font>
      <name val="Calibri"/>
      <b val="1"/>
      <color rgb="00FF79C6"/>
      <sz val="16"/>
    </font>
    <font>
      <name val="Calibri"/>
      <b val="1"/>
      <color rgb="00F8F8F2"/>
      <sz val="12"/>
    </font>
    <font>
      <name val="Calibri"/>
      <b val="1"/>
      <color rgb="00F8F8F2"/>
      <sz val="8"/>
    </font>
    <font>
      <name val="Calibri"/>
      <b val="1"/>
      <color rgb="000D1117"/>
      <sz val="12"/>
    </font>
    <font>
      <name val="Calibri"/>
      <b val="1"/>
      <color rgb="00F1C40F"/>
      <sz val="16"/>
    </font>
    <font>
      <name val="Calibri"/>
      <b val="1"/>
      <color rgb="0000FF88"/>
      <sz val="13"/>
    </font>
    <font>
      <name val="Calibri"/>
      <b val="1"/>
      <color rgb="00FF4444"/>
      <sz val="13"/>
    </font>
    <font>
      <name val="Calibri"/>
      <b val="1"/>
      <color rgb="001ABC9C"/>
      <sz val="16"/>
    </font>
    <font>
      <name val="Calibri"/>
      <b val="1"/>
      <color rgb="008B949E"/>
      <sz val="11"/>
    </font>
    <font>
      <name val="Calibri"/>
      <b val="1"/>
      <color rgb="0000FF88"/>
      <sz val="12"/>
    </font>
    <font>
      <name val="Calibri"/>
      <b val="1"/>
      <color rgb="003498DB"/>
      <sz val="12"/>
    </font>
    <font>
      <name val="Calibri"/>
      <b val="1"/>
      <color rgb="001ABC9C"/>
      <sz val="12"/>
    </font>
    <font>
      <name val="Calibri"/>
      <b val="1"/>
      <color rgb="00FF79C6"/>
      <sz val="12"/>
    </font>
    <font>
      <name val="Calibri"/>
      <color rgb="008B949E"/>
      <sz val="12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00BFFF"/>
      </patternFill>
    </fill>
    <fill>
      <patternFill patternType="solid">
        <fgColor rgb="0000FF88"/>
      </patternFill>
    </fill>
    <fill>
      <patternFill patternType="solid">
        <fgColor rgb="00FFD700"/>
      </patternFill>
    </fill>
    <fill>
      <patternFill patternType="solid">
        <fgColor rgb="00FFB86C"/>
      </patternFill>
    </fill>
    <fill>
      <patternFill patternType="solid">
        <fgColor rgb="00BD93F9"/>
      </patternFill>
    </fill>
    <fill>
      <patternFill patternType="solid">
        <fgColor rgb="00FF4444"/>
      </patternFill>
    </fill>
    <fill>
      <patternFill patternType="solid">
        <fgColor rgb="001C2333"/>
      </patternFill>
    </fill>
    <fill>
      <patternFill patternType="solid">
        <fgColor rgb="0000AA55"/>
      </patternFill>
    </fill>
    <fill>
      <patternFill patternType="solid">
        <fgColor rgb="00CC0000"/>
      </patternFill>
    </fill>
    <fill>
      <patternFill patternType="solid">
        <fgColor rgb="00008FBF"/>
      </patternFill>
    </fill>
  </fills>
  <borders count="4">
    <border>
      <left/>
      <right/>
      <top/>
      <bottom/>
      <diagonal/>
    </border>
    <border>
      <left style="thick">
        <color rgb="0000BFFF"/>
      </left>
    </border>
    <border>
      <left style="thin">
        <color rgb="0000BFFF"/>
      </left>
      <right style="thin">
        <color rgb="0000BFFF"/>
      </right>
      <top style="thin">
        <color rgb="0000BFFF"/>
      </top>
      <bottom style="thin">
        <color rgb="0000BFFF"/>
      </bottom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1" fillId="3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21" fillId="3" borderId="2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5" fillId="10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center" vertical="center"/>
    </xf>
    <xf numFmtId="0" fontId="25" fillId="10" borderId="2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7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29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0" fillId="2" borderId="3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29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0" fillId="3" borderId="3" applyAlignment="1" pivotButton="0" quotePrefix="0" xfId="0">
      <alignment horizontal="center" vertical="center"/>
    </xf>
    <xf numFmtId="0" fontId="28" fillId="3" borderId="3" applyAlignment="1" pivotButton="0" quotePrefix="0" xfId="0">
      <alignment horizontal="center" vertical="center"/>
    </xf>
    <xf numFmtId="0" fontId="14" fillId="10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33" fillId="10" borderId="2" applyAlignment="1" pivotButton="0" quotePrefix="0" xfId="0">
      <alignment horizontal="center" vertical="center"/>
    </xf>
    <xf numFmtId="9" fontId="28" fillId="2" borderId="3" applyAlignment="1" pivotButton="0" quotePrefix="0" xfId="0">
      <alignment horizontal="center" vertical="center"/>
    </xf>
    <xf numFmtId="9" fontId="28" fillId="3" borderId="3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27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10" fontId="27" fillId="2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10" fontId="27" fillId="3" borderId="3" applyAlignment="1" pivotButton="0" quotePrefix="0" xfId="0">
      <alignment horizontal="center" vertical="center"/>
    </xf>
    <xf numFmtId="0" fontId="34" fillId="3" borderId="2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6" fillId="3" borderId="2" applyAlignment="1" pivotButton="0" quotePrefix="0" xfId="0">
      <alignment horizontal="center" vertical="center"/>
    </xf>
    <xf numFmtId="0" fontId="37" fillId="2" borderId="3" applyAlignment="1" pivotButton="0" quotePrefix="0" xfId="0">
      <alignment horizontal="center" vertical="center"/>
    </xf>
    <xf numFmtId="0" fontId="37" fillId="3" borderId="3" applyAlignment="1" pivotButton="0" quotePrefix="0" xfId="0">
      <alignment horizontal="center" vertical="center"/>
    </xf>
    <xf numFmtId="0" fontId="38" fillId="10" borderId="0" applyAlignment="1" pivotButton="0" quotePrefix="0" xfId="0">
      <alignment horizontal="center" vertical="center"/>
    </xf>
    <xf numFmtId="0" fontId="39" fillId="3" borderId="0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/>
    </xf>
    <xf numFmtId="3" fontId="10" fillId="2" borderId="3" applyAlignment="1" pivotButton="0" quotePrefix="0" xfId="0">
      <alignment horizontal="center" vertical="center"/>
    </xf>
    <xf numFmtId="3" fontId="27" fillId="2" borderId="3" applyAlignment="1" pivotButton="0" quotePrefix="0" xfId="0">
      <alignment horizontal="center" vertical="center"/>
    </xf>
    <xf numFmtId="3" fontId="10" fillId="3" borderId="3" applyAlignment="1" pivotButton="0" quotePrefix="0" xfId="0">
      <alignment horizontal="center" vertical="center"/>
    </xf>
    <xf numFmtId="3" fontId="27" fillId="3" borderId="3" applyAlignment="1" pivotButton="0" quotePrefix="0" xfId="0">
      <alignment horizontal="center" vertical="center"/>
    </xf>
    <xf numFmtId="0" fontId="41" fillId="10" borderId="0" applyAlignment="1" pivotButton="0" quotePrefix="0" xfId="0">
      <alignment horizontal="right" vertical="center"/>
    </xf>
    <xf numFmtId="3" fontId="42" fillId="10" borderId="0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3" fontId="20" fillId="2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3" fontId="20" fillId="3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3" fontId="12" fillId="2" borderId="3" applyAlignment="1" pivotButton="0" quotePrefix="0" xfId="0">
      <alignment horizontal="center" vertical="center"/>
    </xf>
    <xf numFmtId="3" fontId="17" fillId="2" borderId="3" applyAlignment="1" pivotButton="0" quotePrefix="0" xfId="0">
      <alignment horizontal="center" vertical="center"/>
    </xf>
    <xf numFmtId="3" fontId="43" fillId="2" borderId="3" applyAlignment="1" pivotButton="0" quotePrefix="0" xfId="0">
      <alignment horizontal="center" vertical="center"/>
    </xf>
    <xf numFmtId="0" fontId="44" fillId="2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3" fontId="12" fillId="3" borderId="3" applyAlignment="1" pivotButton="0" quotePrefix="0" xfId="0">
      <alignment horizontal="center" vertical="center"/>
    </xf>
    <xf numFmtId="3" fontId="17" fillId="3" borderId="3" applyAlignment="1" pivotButton="0" quotePrefix="0" xfId="0">
      <alignment horizontal="center" vertical="center"/>
    </xf>
    <xf numFmtId="3" fontId="43" fillId="3" borderId="3" applyAlignment="1" pivotButton="0" quotePrefix="0" xfId="0">
      <alignment horizontal="center" vertical="center"/>
    </xf>
    <xf numFmtId="0" fontId="44" fillId="3" borderId="3" applyAlignment="1" pivotButton="0" quotePrefix="0" xfId="0">
      <alignment horizontal="center" vertical="center"/>
    </xf>
    <xf numFmtId="0" fontId="45" fillId="10" borderId="0" applyAlignment="1" pivotButton="0" quotePrefix="0" xfId="0">
      <alignment horizontal="right" vertical="center"/>
    </xf>
    <xf numFmtId="3" fontId="21" fillId="10" borderId="0" applyAlignment="1" pivotButton="0" quotePrefix="0" xfId="0">
      <alignment horizontal="center" vertical="center"/>
    </xf>
    <xf numFmtId="0" fontId="46" fillId="10" borderId="0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47" fillId="3" borderId="2" applyAlignment="1" pivotButton="0" quotePrefix="0" xfId="0">
      <alignment horizontal="center" vertical="center"/>
    </xf>
    <xf numFmtId="0" fontId="48" fillId="10" borderId="2" applyAlignment="1" pivotButton="0" quotePrefix="0" xfId="0">
      <alignment horizontal="center" vertical="center"/>
    </xf>
    <xf numFmtId="0" fontId="49" fillId="10" borderId="2" applyAlignment="1" pivotButton="0" quotePrefix="0" xfId="0">
      <alignment horizontal="center" vertical="center"/>
    </xf>
    <xf numFmtId="0" fontId="50" fillId="10" borderId="2" applyAlignment="1" pivotButton="0" quotePrefix="0" xfId="0">
      <alignment horizontal="center" vertical="center"/>
    </xf>
    <xf numFmtId="0" fontId="51" fillId="10" borderId="2" applyAlignment="1" pivotButton="0" quotePrefix="0" xfId="0">
      <alignment horizontal="center" vertical="center"/>
    </xf>
    <xf numFmtId="0" fontId="52" fillId="10" borderId="2" applyAlignment="1" pivotButton="0" quotePrefix="0" xfId="0">
      <alignment horizontal="center" vertical="center"/>
    </xf>
    <xf numFmtId="0" fontId="53" fillId="10" borderId="2" applyAlignment="1" pivotButton="0" quotePrefix="0" xfId="0">
      <alignment horizontal="center" vertical="center"/>
    </xf>
    <xf numFmtId="0" fontId="54" fillId="10" borderId="2" applyAlignment="1" pivotButton="0" quotePrefix="0" xfId="0">
      <alignment horizontal="center" vertical="center"/>
    </xf>
    <xf numFmtId="0" fontId="55" fillId="10" borderId="2" applyAlignment="1" pivotButton="0" quotePrefix="0" xfId="0">
      <alignment horizontal="center" vertical="center"/>
    </xf>
    <xf numFmtId="0" fontId="56" fillId="10" borderId="2" applyAlignment="1" pivotButton="0" quotePrefix="0" xfId="0">
      <alignment horizontal="center" vertical="center"/>
    </xf>
    <xf numFmtId="0" fontId="57" fillId="10" borderId="2" applyAlignment="1" pivotButton="0" quotePrefix="0" xfId="0">
      <alignment horizontal="center" vertical="center"/>
    </xf>
    <xf numFmtId="0" fontId="58" fillId="10" borderId="2" applyAlignment="1" pivotButton="0" quotePrefix="0" xfId="0">
      <alignment horizontal="center" vertical="center"/>
    </xf>
    <xf numFmtId="2" fontId="61" fillId="2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20" fillId="3" borderId="3" applyAlignment="1" pivotButton="0" quotePrefix="0" xfId="0">
      <alignment horizontal="center" vertical="center"/>
    </xf>
    <xf numFmtId="0" fontId="18" fillId="3" borderId="3" applyAlignment="1" pivotButton="0" quotePrefix="0" xfId="0">
      <alignment horizontal="center" vertical="center"/>
    </xf>
    <xf numFmtId="0" fontId="59" fillId="10" borderId="0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2" fontId="60" fillId="2" borderId="3" applyAlignment="1" pivotButton="0" quotePrefix="0" xfId="0">
      <alignment horizontal="center" vertical="center"/>
    </xf>
    <xf numFmtId="2" fontId="42" fillId="2" borderId="3" applyAlignment="1" pivotButton="0" quotePrefix="0" xfId="0">
      <alignment horizontal="center" vertical="center"/>
    </xf>
    <xf numFmtId="0" fontId="24" fillId="3" borderId="3" applyAlignment="1" pivotButton="0" quotePrefix="0" xfId="0">
      <alignment horizontal="center" vertical="center"/>
    </xf>
    <xf numFmtId="2" fontId="60" fillId="3" borderId="3" applyAlignment="1" pivotButton="0" quotePrefix="0" xfId="0">
      <alignment horizontal="center" vertical="center"/>
    </xf>
    <xf numFmtId="2" fontId="42" fillId="3" borderId="3" applyAlignment="1" pivotButton="0" quotePrefix="0" xfId="0">
      <alignment horizontal="center" vertical="center"/>
    </xf>
    <xf numFmtId="0" fontId="62" fillId="3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63" fillId="3" borderId="3" applyAlignment="1" pivotButton="0" quotePrefix="0" xfId="0">
      <alignment horizontal="center" vertical="center"/>
    </xf>
    <xf numFmtId="0" fontId="64" fillId="11" borderId="0" applyAlignment="1" pivotButton="0" quotePrefix="0" xfId="0">
      <alignment horizontal="center" vertical="center"/>
    </xf>
    <xf numFmtId="0" fontId="64" fillId="12" borderId="0" applyAlignment="1" pivotButton="0" quotePrefix="0" xfId="0">
      <alignment horizontal="center" vertical="center"/>
    </xf>
    <xf numFmtId="0" fontId="65" fillId="13" borderId="2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66" fillId="3" borderId="2" applyAlignment="1" pivotButton="0" quotePrefix="0" xfId="0">
      <alignment horizontal="center" vertical="center"/>
    </xf>
    <xf numFmtId="3" fontId="61" fillId="10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right" vertical="center"/>
    </xf>
    <xf numFmtId="3" fontId="67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right" vertical="center"/>
    </xf>
    <xf numFmtId="3" fontId="68" fillId="3" borderId="0" applyAlignment="1" pivotButton="0" quotePrefix="0" xfId="0">
      <alignment horizontal="center" vertical="center"/>
    </xf>
    <xf numFmtId="0" fontId="69" fillId="3" borderId="2" applyAlignment="1" pivotButton="0" quotePrefix="0" xfId="0">
      <alignment horizontal="center" vertical="center"/>
    </xf>
    <xf numFmtId="0" fontId="70" fillId="3" borderId="0" applyAlignment="1" pivotButton="0" quotePrefix="0" xfId="0">
      <alignment horizontal="left" vertical="center"/>
    </xf>
    <xf numFmtId="0" fontId="11" fillId="10" borderId="3" applyAlignment="1" pivotButton="0" quotePrefix="0" xfId="0">
      <alignment horizontal="left" vertical="center"/>
    </xf>
    <xf numFmtId="0" fontId="35" fillId="10" borderId="3" applyAlignment="1" pivotButton="0" quotePrefix="0" xfId="0">
      <alignment horizontal="left" vertical="center"/>
    </xf>
    <xf numFmtId="0" fontId="38" fillId="10" borderId="3" applyAlignment="1" pivotButton="0" quotePrefix="0" xfId="0">
      <alignment horizontal="left" vertical="center"/>
    </xf>
    <xf numFmtId="0" fontId="71" fillId="10" borderId="3" applyAlignment="1" pivotButton="0" quotePrefix="0" xfId="0">
      <alignment horizontal="left" vertical="center"/>
    </xf>
    <xf numFmtId="0" fontId="60" fillId="10" borderId="3" applyAlignment="1" pivotButton="0" quotePrefix="0" xfId="0">
      <alignment horizontal="left" vertical="center"/>
    </xf>
    <xf numFmtId="0" fontId="72" fillId="10" borderId="3" applyAlignment="1" pivotButton="0" quotePrefix="0" xfId="0">
      <alignment horizontal="left" vertical="center"/>
    </xf>
    <xf numFmtId="0" fontId="73" fillId="10" borderId="3" applyAlignment="1" pivotButton="0" quotePrefix="0" xfId="0">
      <alignment horizontal="left" vertical="center"/>
    </xf>
    <xf numFmtId="0" fontId="45" fillId="10" borderId="3" applyAlignment="1" pivotButton="0" quotePrefix="0" xfId="0">
      <alignment horizontal="left" vertical="center"/>
    </xf>
    <xf numFmtId="0" fontId="74" fillId="10" borderId="3" applyAlignment="1" pivotButton="0" quotePrefix="0" xfId="0">
      <alignment horizontal="left" vertical="center"/>
    </xf>
    <xf numFmtId="0" fontId="63" fillId="10" borderId="3" applyAlignment="1" pivotButton="0" quotePrefix="0" xfId="0">
      <alignment horizontal="left" vertical="center"/>
    </xf>
    <xf numFmtId="0" fontId="75" fillId="10" borderId="3" applyAlignment="1" pivotButton="0" quotePrefix="0" xfId="0">
      <alignment horizontal="left" vertical="center"/>
    </xf>
    <xf numFmtId="0" fontId="41" fillId="10" borderId="3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name val="Calibri"/>
        <b val="1"/>
        <color rgb="00F8F8F2"/>
        <sz val="11"/>
      </font>
      <fill>
        <patternFill patternType="solid">
          <fgColor rgb="0000AA55"/>
        </patternFill>
      </fill>
    </dxf>
    <dxf>
      <font>
        <name val="Calibri"/>
        <b val="1"/>
        <color rgb="00F8F8F2"/>
        <sz val="11"/>
      </font>
      <fill>
        <patternFill patternType="solid">
          <fgColor rgb="0000CC66"/>
        </patternFill>
      </fill>
    </dxf>
    <dxf>
      <font>
        <name val="Calibri"/>
        <b val="1"/>
        <color rgb="00F8F8F2"/>
        <sz val="11"/>
      </font>
      <fill>
        <patternFill patternType="solid">
          <fgColor rgb="00CC0000"/>
        </patternFill>
      </fill>
    </dxf>
    <dxf>
      <font>
        <name val="Calibri"/>
        <b val="1"/>
        <color rgb="00FFD700"/>
        <sz val="11"/>
      </font>
      <fill>
        <patternFill patternType="solid">
          <fgColor rgb="001C2333"/>
        </patternFill>
      </fill>
    </dxf>
    <dxf>
      <font>
        <name val="Calibri"/>
        <b val="1"/>
        <color rgb="00FFD700"/>
        <sz val="11"/>
      </font>
      <fill>
        <patternFill patternType="solid">
          <fgColor rgb="004A3F00"/>
        </patternFill>
      </fill>
    </dxf>
    <dxf>
      <font>
        <name val="Calibri"/>
        <b val="1"/>
        <color rgb="00FF4444"/>
        <sz val="11"/>
      </font>
    </dxf>
    <dxf>
      <font>
        <name val="Calibri"/>
        <b val="1"/>
        <color rgb="0000FF88"/>
        <sz val="11"/>
      </font>
    </dxf>
    <dxf>
      <font>
        <name val="Calibri"/>
        <b val="1"/>
        <color rgb="00F8F8F2"/>
        <sz val="11"/>
      </font>
      <fill>
        <patternFill patternType="solid">
          <fgColor rgb="00007744"/>
        </patternFill>
      </fill>
    </dxf>
    <dxf>
      <font>
        <name val="Calibri"/>
        <b val="1"/>
        <color rgb="00F8F8F2"/>
        <sz val="11"/>
      </font>
      <fill>
        <patternFill patternType="solid">
          <fgColor rgb="000055AA"/>
        </patternFill>
      </fill>
    </dxf>
    <dxf>
      <font>
        <name val="Calibri"/>
        <b val="1"/>
        <color rgb="00F8F8F2"/>
        <sz val="11"/>
      </font>
      <fill>
        <patternFill patternType="solid">
          <fgColor rgb="003498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FFF"/>
    <outlinePr summaryBelow="1" summaryRight="1"/>
    <pageSetUpPr/>
  </sheetPr>
  <dimension ref="A1:T6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1" t="inlineStr">
        <is>
          <t>🎓  SHOVON — Personal Academic &amp; Life Manager</t>
        </is>
      </c>
    </row>
    <row r="2" ht="22" customHeight="1">
      <c r="A2" s="2" t="inlineStr">
        <is>
          <t>✦  University  ·  Attendance  ·  Study  ·  Tasks  ·  Finance  ·  CGPA  ✦</t>
        </is>
      </c>
    </row>
    <row r="3" ht="18" customHeight="1">
      <c r="A3" s="3" t="inlineStr">
        <is>
          <t>Last Updated: 21 May 2026, 12:29 AM</t>
        </is>
      </c>
    </row>
    <row r="4" ht="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20" customHeight="1">
      <c r="A5" s="5" t="inlineStr">
        <is>
          <t>📚 Total Courses</t>
        </is>
      </c>
      <c r="D5" s="6" t="inlineStr">
        <is>
          <t>🎯 Attendance %</t>
        </is>
      </c>
      <c r="G5" s="7" t="inlineStr">
        <is>
          <t>✅ Done Study %</t>
        </is>
      </c>
      <c r="J5" s="8" t="inlineStr">
        <is>
          <t>💰 Total Expense</t>
        </is>
      </c>
      <c r="M5" s="9" t="inlineStr">
        <is>
          <t>⭐ Current CGPA</t>
        </is>
      </c>
      <c r="P5" s="10" t="inlineStr">
        <is>
          <t>📅 Pending Tasks</t>
        </is>
      </c>
      <c r="S5" s="11" t="n"/>
      <c r="T5" s="11" t="n"/>
    </row>
    <row r="6" ht="36" customHeight="1">
      <c r="A6" s="12">
        <f>COUNTA('📋 Courses'!B5:B30)</f>
        <v/>
      </c>
      <c r="D6" s="12">
        <f>'📊 Attendance'!S5</f>
        <v/>
      </c>
      <c r="G6" s="12">
        <f>'📖 Study Tracker'!L5</f>
        <v/>
      </c>
      <c r="J6" s="12">
        <f>SUM('💸 Expenses'!E5:E200)</f>
        <v/>
      </c>
      <c r="M6" s="12">
        <f>'🏆 CGPA'!H5</f>
        <v/>
      </c>
      <c r="P6" s="12">
        <f>COUNTIF('📝 Tasks'!F5:F200,"Pending")</f>
        <v/>
      </c>
      <c r="S6" s="11" t="n"/>
      <c r="T6" s="11" t="n"/>
    </row>
    <row r="7" ht="4" customHeight="1">
      <c r="A7" s="13" t="inlineStr"/>
      <c r="D7" s="14" t="inlineStr"/>
      <c r="G7" s="15" t="inlineStr"/>
      <c r="J7" s="16" t="inlineStr"/>
      <c r="M7" s="17" t="inlineStr"/>
      <c r="P7" s="18" t="inlineStr"/>
      <c r="S7" s="11" t="n"/>
      <c r="T7" s="11" t="n"/>
    </row>
    <row r="8" ht="8" customHeight="1">
      <c r="A8" s="11" t="inlineStr"/>
      <c r="D8" s="11" t="inlineStr"/>
      <c r="G8" s="11" t="inlineStr"/>
      <c r="J8" s="11" t="inlineStr"/>
      <c r="M8" s="11" t="inlineStr"/>
      <c r="P8" s="11" t="inlineStr"/>
      <c r="S8" s="11" t="n"/>
      <c r="T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>
      <c r="A10" s="19" t="inlineStr">
        <is>
          <t xml:space="preserve">  📌  Quick Navigation &amp; Module Status</t>
        </is>
      </c>
      <c r="T10" s="11" t="n"/>
    </row>
    <row r="11" ht="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 ht="22" customHeight="1">
      <c r="A12" s="20" t="inlineStr">
        <is>
          <t xml:space="preserve">  📋 Courses</t>
        </is>
      </c>
      <c r="F12" s="21" t="inlineStr">
        <is>
          <t>Configure all courses &amp; semester info</t>
        </is>
      </c>
      <c r="T12" s="11" t="n"/>
    </row>
    <row r="13" ht="22" customHeight="1">
      <c r="A13" s="22" t="inlineStr">
        <is>
          <t xml:space="preserve">  📊 Attendance</t>
        </is>
      </c>
      <c r="F13" s="21" t="inlineStr">
        <is>
          <t>Mark &amp; track class attendance</t>
        </is>
      </c>
      <c r="T13" s="11" t="n"/>
    </row>
    <row r="14" ht="22" customHeight="1">
      <c r="A14" s="23" t="inlineStr">
        <is>
          <t xml:space="preserve">  📖 Study Tracker</t>
        </is>
      </c>
      <c r="F14" s="21" t="inlineStr">
        <is>
          <t>Monitor study progress per course</t>
        </is>
      </c>
      <c r="T14" s="11" t="n"/>
    </row>
    <row r="15" ht="22" customHeight="1">
      <c r="A15" s="24" t="inlineStr">
        <is>
          <t xml:space="preserve">  📝 Tasks</t>
        </is>
      </c>
      <c r="F15" s="21" t="inlineStr">
        <is>
          <t>Daily task &amp; routine manager</t>
        </is>
      </c>
      <c r="T15" s="11" t="n"/>
    </row>
    <row r="16" ht="22" customHeight="1">
      <c r="A16" s="25" t="inlineStr">
        <is>
          <t xml:space="preserve">  💸 Expenses</t>
        </is>
      </c>
      <c r="F16" s="21" t="inlineStr">
        <is>
          <t>Daily buy &amp; expense tracker</t>
        </is>
      </c>
      <c r="T16" s="11" t="n"/>
    </row>
    <row r="17" ht="22" customHeight="1">
      <c r="A17" s="20" t="inlineStr">
        <is>
          <t xml:space="preserve">  💰 Money Manager</t>
        </is>
      </c>
      <c r="F17" s="21" t="inlineStr">
        <is>
          <t>Fund accounts &amp; transactions</t>
        </is>
      </c>
      <c r="T17" s="11" t="n"/>
    </row>
    <row r="18" ht="22" customHeight="1">
      <c r="A18" s="26" t="inlineStr">
        <is>
          <t xml:space="preserve">  🏆 CGPA</t>
        </is>
      </c>
      <c r="F18" s="21" t="inlineStr">
        <is>
          <t>Marks, GPA &amp; CGPA calculation</t>
        </is>
      </c>
      <c r="T18" s="11" t="n"/>
    </row>
    <row r="19" ht="22" customHeight="1">
      <c r="A19" s="27" t="inlineStr">
        <is>
          <t xml:space="preserve">  📅 Calendar</t>
        </is>
      </c>
      <c r="F19" s="21" t="inlineStr">
        <is>
          <t>Attendance calendar view</t>
        </is>
      </c>
      <c r="T19" s="11" t="n"/>
    </row>
    <row r="20" ht="22" customHeight="1">
      <c r="A20" s="28" t="inlineStr">
        <is>
          <t xml:space="preserve">  📑 Fee Manager</t>
        </is>
      </c>
      <c r="F20" s="21" t="inlineStr">
        <is>
          <t>Semester registration fees</t>
        </is>
      </c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</row>
  </sheetData>
  <mergeCells count="46">
    <mergeCell ref="J6:L6"/>
    <mergeCell ref="P8:R8"/>
    <mergeCell ref="G6:I6"/>
    <mergeCell ref="A15:E15"/>
    <mergeCell ref="F16:S16"/>
    <mergeCell ref="M7:O7"/>
    <mergeCell ref="F19:S19"/>
    <mergeCell ref="D7:F7"/>
    <mergeCell ref="M6:O6"/>
    <mergeCell ref="A10:S10"/>
    <mergeCell ref="A1:T1"/>
    <mergeCell ref="J7:L7"/>
    <mergeCell ref="P7:R7"/>
    <mergeCell ref="A5:C5"/>
    <mergeCell ref="G5:I5"/>
    <mergeCell ref="A16:E16"/>
    <mergeCell ref="A8:C8"/>
    <mergeCell ref="F12:S12"/>
    <mergeCell ref="F15:S15"/>
    <mergeCell ref="M8:O8"/>
    <mergeCell ref="F20:S20"/>
    <mergeCell ref="F18:S18"/>
    <mergeCell ref="D8:F8"/>
    <mergeCell ref="A18:E18"/>
    <mergeCell ref="A12:E12"/>
    <mergeCell ref="F17:S17"/>
    <mergeCell ref="D5:F5"/>
    <mergeCell ref="P5:R5"/>
    <mergeCell ref="A3:T3"/>
    <mergeCell ref="J8:L8"/>
    <mergeCell ref="A2:T2"/>
    <mergeCell ref="A14:E14"/>
    <mergeCell ref="A17:E17"/>
    <mergeCell ref="F13:S13"/>
    <mergeCell ref="J5:L5"/>
    <mergeCell ref="A20:E20"/>
    <mergeCell ref="A6:C6"/>
    <mergeCell ref="D6:F6"/>
    <mergeCell ref="M5:O5"/>
    <mergeCell ref="G8:I8"/>
    <mergeCell ref="A19:E19"/>
    <mergeCell ref="A13:E13"/>
    <mergeCell ref="A7:C7"/>
    <mergeCell ref="G7:I7"/>
    <mergeCell ref="P6:R6"/>
    <mergeCell ref="F14:S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88"/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3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1" customWidth="1" min="9" max="9"/>
    <col width="8" customWidth="1" min="10" max="10"/>
    <col width="16" customWidth="1" min="11" max="11"/>
    <col width="12" customWidth="1" min="12" max="12"/>
    <col width="8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29" t="inlineStr">
        <is>
          <t>📋  COURSE &amp; SEMESTER CONFIGURATION</t>
        </is>
      </c>
      <c r="S1" s="11" t="n"/>
      <c r="T1" s="11" t="n"/>
    </row>
    <row r="2">
      <c r="A2" s="30" t="inlineStr">
        <is>
          <t xml:space="preserve">  Configure all courses, credits, instructors and semester details</t>
        </is>
      </c>
      <c r="S2" s="11" t="n"/>
      <c r="T2" s="11" t="n"/>
    </row>
    <row r="3">
      <c r="A3" s="22" t="inlineStr">
        <is>
          <t>🔵 Active Semester:</t>
        </is>
      </c>
      <c r="E3" s="31" t="inlineStr">
        <is>
          <t>1st Semester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28" customHeight="1">
      <c r="A4" s="32" t="inlineStr">
        <is>
          <t>#</t>
        </is>
      </c>
      <c r="B4" s="33" t="inlineStr">
        <is>
          <t>Semester</t>
        </is>
      </c>
      <c r="C4" s="34" t="inlineStr">
        <is>
          <t>Course Code</t>
        </is>
      </c>
      <c r="D4" s="35" t="inlineStr">
        <is>
          <t>Course Title</t>
        </is>
      </c>
      <c r="E4" s="36" t="inlineStr">
        <is>
          <t>Instructor</t>
        </is>
      </c>
      <c r="F4" s="37" t="inlineStr">
        <is>
          <t>Credit Hours</t>
        </is>
      </c>
      <c r="G4" s="38" t="inlineStr">
        <is>
          <t>Mid Marks</t>
        </is>
      </c>
      <c r="H4" s="38" t="inlineStr">
        <is>
          <t>Final Marks</t>
        </is>
      </c>
      <c r="I4" s="39" t="inlineStr">
        <is>
          <t>Assignment</t>
        </is>
      </c>
      <c r="J4" s="39" t="inlineStr">
        <is>
          <t>Lab</t>
        </is>
      </c>
      <c r="K4" s="40" t="inlineStr">
        <is>
          <t>Attendance Marks</t>
        </is>
      </c>
      <c r="L4" s="41" t="inlineStr">
        <is>
          <t>Total Marks</t>
        </is>
      </c>
      <c r="M4" s="42" t="inlineStr">
        <is>
          <t>Grade</t>
        </is>
      </c>
      <c r="N4" s="34" t="inlineStr">
        <is>
          <t>Status</t>
        </is>
      </c>
      <c r="O4" s="33" t="inlineStr">
        <is>
          <t>Start Date</t>
        </is>
      </c>
      <c r="P4" s="33" t="inlineStr">
        <is>
          <t>End Date</t>
        </is>
      </c>
      <c r="Q4" s="32" t="inlineStr">
        <is>
          <t>Notes</t>
        </is>
      </c>
      <c r="R4" s="11" t="n"/>
      <c r="S4" s="11" t="n"/>
      <c r="T4" s="11" t="n"/>
    </row>
    <row r="5" ht="22" customHeight="1">
      <c r="A5" s="43" t="n">
        <v>1</v>
      </c>
      <c r="B5" s="44" t="inlineStr">
        <is>
          <t>1st Semester</t>
        </is>
      </c>
      <c r="C5" s="45" t="inlineStr">
        <is>
          <t>CSE101</t>
        </is>
      </c>
      <c r="D5" s="46" t="inlineStr">
        <is>
          <t>Introduction to Programming</t>
        </is>
      </c>
      <c r="E5" s="47" t="inlineStr">
        <is>
          <t>Dr. Rahman</t>
        </is>
      </c>
      <c r="F5" s="48" t="n">
        <v>3</v>
      </c>
      <c r="G5" s="48" t="n">
        <v>25</v>
      </c>
      <c r="H5" s="48" t="n">
        <v>40</v>
      </c>
      <c r="I5" s="48" t="n">
        <v>10</v>
      </c>
      <c r="J5" s="48" t="n">
        <v>0</v>
      </c>
      <c r="K5" s="48" t="n">
        <v>10</v>
      </c>
      <c r="L5" s="48">
        <f>SUM(G5:K5)</f>
        <v/>
      </c>
      <c r="M5" s="48">
        <f>IF(L5&gt;=80,"A+",IF(L5&gt;=75,"A",IF(L5&gt;=70,"A-",IF(L5&gt;=65,"B+",IF(L5&gt;=60,"B",IF(L5&gt;=55,"B-",IF(L5&gt;=50,"C+",IF(L5&gt;=45,"C",IF(L5&gt;=40,"D","F")))))))))</f>
        <v/>
      </c>
      <c r="N5" s="48" t="inlineStr">
        <is>
          <t>Active</t>
        </is>
      </c>
      <c r="O5" s="48" t="inlineStr"/>
      <c r="P5" s="48" t="inlineStr"/>
      <c r="Q5" s="48" t="inlineStr"/>
      <c r="R5" s="11" t="n"/>
      <c r="S5" s="11" t="n"/>
      <c r="T5" s="11" t="n"/>
    </row>
    <row r="6" ht="22" customHeight="1">
      <c r="A6" s="49" t="n">
        <v>2</v>
      </c>
      <c r="B6" s="50" t="inlineStr">
        <is>
          <t>1st Semester</t>
        </is>
      </c>
      <c r="C6" s="51" t="inlineStr">
        <is>
          <t>MATH101</t>
        </is>
      </c>
      <c r="D6" s="52" t="inlineStr">
        <is>
          <t>Calculus I</t>
        </is>
      </c>
      <c r="E6" s="53" t="inlineStr">
        <is>
          <t>Prof. Khan</t>
        </is>
      </c>
      <c r="F6" s="54" t="n">
        <v>3</v>
      </c>
      <c r="G6" s="54" t="n">
        <v>25</v>
      </c>
      <c r="H6" s="54" t="n">
        <v>40</v>
      </c>
      <c r="I6" s="54" t="n">
        <v>10</v>
      </c>
      <c r="J6" s="54" t="n">
        <v>0</v>
      </c>
      <c r="K6" s="54" t="n">
        <v>10</v>
      </c>
      <c r="L6" s="54">
        <f>SUM(G6:K6)</f>
        <v/>
      </c>
      <c r="M6" s="54">
        <f>IF(L6&gt;=80,"A+",IF(L6&gt;=75,"A",IF(L6&gt;=70,"A-",IF(L6&gt;=65,"B+",IF(L6&gt;=60,"B",IF(L6&gt;=55,"B-",IF(L6&gt;=50,"C+",IF(L6&gt;=45,"C",IF(L6&gt;=40,"D","F")))))))))</f>
        <v/>
      </c>
      <c r="N6" s="54" t="inlineStr">
        <is>
          <t>Active</t>
        </is>
      </c>
      <c r="O6" s="54" t="inlineStr"/>
      <c r="P6" s="54" t="inlineStr"/>
      <c r="Q6" s="54" t="inlineStr"/>
      <c r="R6" s="11" t="n"/>
      <c r="S6" s="11" t="n"/>
      <c r="T6" s="11" t="n"/>
    </row>
    <row r="7" ht="22" customHeight="1">
      <c r="A7" s="43" t="n">
        <v>3</v>
      </c>
      <c r="B7" s="44" t="inlineStr">
        <is>
          <t>1st Semester</t>
        </is>
      </c>
      <c r="C7" s="45" t="inlineStr">
        <is>
          <t>PHY101</t>
        </is>
      </c>
      <c r="D7" s="46" t="inlineStr">
        <is>
          <t>Physics I</t>
        </is>
      </c>
      <c r="E7" s="47" t="inlineStr">
        <is>
          <t>Dr. Ahmed</t>
        </is>
      </c>
      <c r="F7" s="48" t="n">
        <v>3</v>
      </c>
      <c r="G7" s="48" t="n">
        <v>25</v>
      </c>
      <c r="H7" s="48" t="n">
        <v>40</v>
      </c>
      <c r="I7" s="48" t="n">
        <v>10</v>
      </c>
      <c r="J7" s="48" t="n">
        <v>5</v>
      </c>
      <c r="K7" s="48" t="n">
        <v>10</v>
      </c>
      <c r="L7" s="48">
        <f>SUM(G7:K7)</f>
        <v/>
      </c>
      <c r="M7" s="48">
        <f>IF(L7&gt;=80,"A+",IF(L7&gt;=75,"A",IF(L7&gt;=70,"A-",IF(L7&gt;=65,"B+",IF(L7&gt;=60,"B",IF(L7&gt;=55,"B-",IF(L7&gt;=50,"C+",IF(L7&gt;=45,"C",IF(L7&gt;=40,"D","F")))))))))</f>
        <v/>
      </c>
      <c r="N7" s="48" t="inlineStr">
        <is>
          <t>Active</t>
        </is>
      </c>
      <c r="O7" s="48" t="inlineStr"/>
      <c r="P7" s="48" t="inlineStr"/>
      <c r="Q7" s="48" t="inlineStr"/>
      <c r="R7" s="11" t="n"/>
      <c r="S7" s="11" t="n"/>
      <c r="T7" s="11" t="n"/>
    </row>
    <row r="8" ht="22" customHeight="1">
      <c r="A8" s="49" t="n">
        <v>4</v>
      </c>
      <c r="B8" s="50" t="inlineStr">
        <is>
          <t>1st Semester</t>
        </is>
      </c>
      <c r="C8" s="51" t="inlineStr">
        <is>
          <t>ENG101</t>
        </is>
      </c>
      <c r="D8" s="52" t="inlineStr">
        <is>
          <t>English Communication</t>
        </is>
      </c>
      <c r="E8" s="53" t="inlineStr">
        <is>
          <t>Ms. Fatema</t>
        </is>
      </c>
      <c r="F8" s="54" t="n">
        <v>2</v>
      </c>
      <c r="G8" s="54" t="n">
        <v>25</v>
      </c>
      <c r="H8" s="54" t="n">
        <v>40</v>
      </c>
      <c r="I8" s="54" t="n">
        <v>10</v>
      </c>
      <c r="J8" s="54" t="n">
        <v>0</v>
      </c>
      <c r="K8" s="54" t="n">
        <v>10</v>
      </c>
      <c r="L8" s="54">
        <f>SUM(G8:K8)</f>
        <v/>
      </c>
      <c r="M8" s="54">
        <f>IF(L8&gt;=80,"A+",IF(L8&gt;=75,"A",IF(L8&gt;=70,"A-",IF(L8&gt;=65,"B+",IF(L8&gt;=60,"B",IF(L8&gt;=55,"B-",IF(L8&gt;=50,"C+",IF(L8&gt;=45,"C",IF(L8&gt;=40,"D","F")))))))))</f>
        <v/>
      </c>
      <c r="N8" s="54" t="inlineStr">
        <is>
          <t>Active</t>
        </is>
      </c>
      <c r="O8" s="54" t="inlineStr"/>
      <c r="P8" s="54" t="inlineStr"/>
      <c r="Q8" s="54" t="inlineStr"/>
      <c r="R8" s="11" t="n"/>
      <c r="S8" s="11" t="n"/>
      <c r="T8" s="11" t="n"/>
    </row>
    <row r="9" ht="22" customHeight="1">
      <c r="A9" s="43" t="n">
        <v>5</v>
      </c>
      <c r="B9" s="44" t="inlineStr">
        <is>
          <t>2nd Semester</t>
        </is>
      </c>
      <c r="C9" s="45" t="inlineStr">
        <is>
          <t>CSE201</t>
        </is>
      </c>
      <c r="D9" s="46" t="inlineStr">
        <is>
          <t>Data Structures</t>
        </is>
      </c>
      <c r="E9" s="47" t="inlineStr">
        <is>
          <t>Dr. Islam</t>
        </is>
      </c>
      <c r="F9" s="48" t="n">
        <v>3</v>
      </c>
      <c r="G9" s="48" t="n">
        <v>25</v>
      </c>
      <c r="H9" s="48" t="n">
        <v>40</v>
      </c>
      <c r="I9" s="48" t="n">
        <v>10</v>
      </c>
      <c r="J9" s="48" t="n">
        <v>0</v>
      </c>
      <c r="K9" s="48" t="n">
        <v>10</v>
      </c>
      <c r="L9" s="48">
        <f>SUM(G9:K9)</f>
        <v/>
      </c>
      <c r="M9" s="48">
        <f>IF(L9&gt;=80,"A+",IF(L9&gt;=75,"A",IF(L9&gt;=70,"A-",IF(L9&gt;=65,"B+",IF(L9&gt;=60,"B",IF(L9&gt;=55,"B-",IF(L9&gt;=50,"C+",IF(L9&gt;=45,"C",IF(L9&gt;=40,"D","F")))))))))</f>
        <v/>
      </c>
      <c r="N9" s="48" t="inlineStr">
        <is>
          <t>Active</t>
        </is>
      </c>
      <c r="O9" s="48" t="inlineStr"/>
      <c r="P9" s="48" t="inlineStr"/>
      <c r="Q9" s="48" t="inlineStr"/>
      <c r="R9" s="11" t="n"/>
      <c r="S9" s="11" t="n"/>
      <c r="T9" s="11" t="n"/>
    </row>
    <row r="10" ht="22" customHeight="1">
      <c r="A10" s="49" t="n">
        <v>6</v>
      </c>
      <c r="B10" s="50" t="inlineStr">
        <is>
          <t>2nd Semester</t>
        </is>
      </c>
      <c r="C10" s="51" t="inlineStr">
        <is>
          <t>MATH201</t>
        </is>
      </c>
      <c r="D10" s="52" t="inlineStr">
        <is>
          <t>Calculus II</t>
        </is>
      </c>
      <c r="E10" s="53" t="inlineStr">
        <is>
          <t>Prof. Hossain</t>
        </is>
      </c>
      <c r="F10" s="54" t="n">
        <v>3</v>
      </c>
      <c r="G10" s="54" t="n">
        <v>25</v>
      </c>
      <c r="H10" s="54" t="n">
        <v>40</v>
      </c>
      <c r="I10" s="54" t="n">
        <v>10</v>
      </c>
      <c r="J10" s="54" t="n">
        <v>0</v>
      </c>
      <c r="K10" s="54" t="n">
        <v>10</v>
      </c>
      <c r="L10" s="54">
        <f>SUM(G10:K10)</f>
        <v/>
      </c>
      <c r="M10" s="54">
        <f>IF(L10&gt;=80,"A+",IF(L10&gt;=75,"A",IF(L10&gt;=70,"A-",IF(L10&gt;=65,"B+",IF(L10&gt;=60,"B",IF(L10&gt;=55,"B-",IF(L10&gt;=50,"C+",IF(L10&gt;=45,"C",IF(L10&gt;=40,"D","F")))))))))</f>
        <v/>
      </c>
      <c r="N10" s="54" t="inlineStr">
        <is>
          <t>Active</t>
        </is>
      </c>
      <c r="O10" s="54" t="inlineStr"/>
      <c r="P10" s="54" t="inlineStr"/>
      <c r="Q10" s="54" t="inlineStr"/>
      <c r="R10" s="11" t="n"/>
      <c r="S10" s="11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</row>
    <row r="12">
      <c r="A12" s="55" t="inlineStr">
        <is>
          <t>TOTALS &amp; AVERAGES</t>
        </is>
      </c>
      <c r="L12" s="56">
        <f>AVERAGE(L5:L10)</f>
        <v/>
      </c>
      <c r="M12" s="11" t="n"/>
      <c r="N12" s="11" t="n"/>
      <c r="O12" s="11" t="n"/>
      <c r="P12" s="11" t="n"/>
      <c r="Q12" s="11" t="n"/>
      <c r="R12" s="11" t="n"/>
      <c r="S12" s="11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</row>
    <row r="14">
      <c r="A14" s="26" t="inlineStr">
        <is>
          <t>📌 Total Credits Registered:</t>
        </is>
      </c>
      <c r="E14" s="57">
        <f>SUM(F5:F10)</f>
        <v/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</row>
  </sheetData>
  <mergeCells count="5">
    <mergeCell ref="A12:K12"/>
    <mergeCell ref="A2:R2"/>
    <mergeCell ref="A3:D3"/>
    <mergeCell ref="A1:R1"/>
    <mergeCell ref="A14:D14"/>
  </mergeCells>
  <conditionalFormatting sqref="M5:M50">
    <cfRule type="expression" priority="1" dxfId="0">
      <formula>M5="A+"</formula>
    </cfRule>
    <cfRule type="expression" priority="2" dxfId="1">
      <formula>M5="A"</formula>
    </cfRule>
    <cfRule type="expression" priority="3" dxfId="2">
      <formula>M5="F"</formula>
    </cfRule>
  </conditionalFormatting>
  <dataValidations count="5">
    <dataValidation sqref="E3" showDropDown="0" showInputMessage="0" showErrorMessage="0" allowBlank="0" errorTitle="Input Error" error="Invalid semester selection" promptTitle="Semester" prompt="Select the active semester" type="list">
      <formula1>"1st Semester,2nd Semester,3rd Semester,4th Semester,5th Semester,6th Semester,7th Semester,8th Semester"</formula1>
    </dataValidation>
    <dataValidation sqref="N5:N50" showDropDown="0" showInputMessage="0" showErrorMessage="0" allowBlank="0" type="list">
      <formula1>"Active,Completed,Dropped"</formula1>
    </dataValidation>
    <dataValidation sqref="B5:B50" showDropDown="0" showInputMessage="0" showErrorMessage="0" allowBlank="0" type="list">
      <formula1>"1st Semester,2nd Semester,3rd Semester,4th Semester,5th Semester,6th Semester,7th Semester,8th Semester"</formula1>
    </dataValidation>
    <dataValidation sqref="F5:F50" showDropDown="0" showInputMessage="0" showErrorMessage="0" allowBlank="0" errorTitle="Invalid Credit" error="Credit must be 1-6" type="whole" operator="between">
      <formula1>1</formula1>
      <formula2>6</formula2>
    </dataValidation>
    <dataValidation sqref="G5:K50" showDropDown="0" showInputMessage="0" showErrorMessage="0" allowBlank="0" error="Marks must be 0-10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FFF"/>
    <outlinePr summaryBelow="1" summaryRight="1"/>
    <pageSetUpPr/>
  </sheetPr>
  <dimension ref="A1:V2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4" customWidth="1" min="4" max="4"/>
    <col width="12" customWidth="1" min="5" max="5"/>
    <col width="22" customWidth="1" min="6" max="6"/>
    <col width="18" customWidth="1" min="7" max="7"/>
    <col width="12" customWidth="1" min="8" max="8"/>
    <col width="10" customWidth="1" min="9" max="9"/>
    <col width="11" customWidth="1" min="10" max="10"/>
    <col width="13" customWidth="1" min="11" max="11"/>
    <col width="22" customWidth="1" min="12" max="12"/>
    <col width="14" customWidth="1" min="13" max="13"/>
    <col width="18" customWidth="1" min="14" max="14"/>
    <col width="8" customWidth="1" min="15" max="15"/>
    <col width="10" customWidth="1" min="16" max="16"/>
    <col width="6" customWidth="1" min="17" max="17"/>
    <col width="13" customWidth="1" min="18" max="18"/>
    <col width="13" customWidth="1" min="19" max="19"/>
    <col width="13" customWidth="1" min="20" max="20"/>
    <col width="8" customWidth="1" min="21" max="21"/>
    <col width="16" customWidth="1" min="22" max="22"/>
  </cols>
  <sheetData>
    <row r="1">
      <c r="A1" s="58" t="inlineStr">
        <is>
          <t>📊  ATTENDANCE TRACKER</t>
        </is>
      </c>
    </row>
    <row r="2">
      <c r="A2" s="30" t="inlineStr">
        <is>
          <t xml:space="preserve">  Mark attendance, track presence/absence, monitor attendance % per course</t>
        </is>
      </c>
    </row>
    <row r="3">
      <c r="A3" s="59" t="inlineStr">
        <is>
          <t>📅 Filter Semester:</t>
        </is>
      </c>
      <c r="D3" s="35" t="inlineStr">
        <is>
          <t>All Semesters</t>
        </is>
      </c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</row>
    <row r="4" ht="28" customHeight="1">
      <c r="A4" s="32" t="inlineStr">
        <is>
          <t>#</t>
        </is>
      </c>
      <c r="B4" s="33" t="inlineStr">
        <is>
          <t>Date</t>
        </is>
      </c>
      <c r="C4" s="37" t="inlineStr">
        <is>
          <t>Day</t>
        </is>
      </c>
      <c r="D4" s="38" t="inlineStr">
        <is>
          <t>Semester</t>
        </is>
      </c>
      <c r="E4" s="34" t="inlineStr">
        <is>
          <t>Course Code</t>
        </is>
      </c>
      <c r="F4" s="35" t="inlineStr">
        <is>
          <t>Course Title</t>
        </is>
      </c>
      <c r="G4" s="36" t="inlineStr">
        <is>
          <t>Instructor</t>
        </is>
      </c>
      <c r="H4" s="40" t="inlineStr">
        <is>
          <t>Class Time</t>
        </is>
      </c>
      <c r="I4" s="42" t="inlineStr">
        <is>
          <t>Status</t>
        </is>
      </c>
      <c r="J4" s="39" t="inlineStr">
        <is>
          <t>Extra Class</t>
        </is>
      </c>
      <c r="K4" s="33" t="inlineStr">
        <is>
          <t>Online/Offline</t>
        </is>
      </c>
      <c r="L4" s="32" t="inlineStr">
        <is>
          <t>Topic Covered</t>
        </is>
      </c>
      <c r="M4" s="41" t="inlineStr">
        <is>
          <t>Signature Count</t>
        </is>
      </c>
      <c r="N4" s="32" t="inlineStr">
        <is>
          <t>Notes</t>
        </is>
      </c>
      <c r="O4" s="37" t="inlineStr">
        <is>
          <t>Week No</t>
        </is>
      </c>
      <c r="P4" s="33" t="inlineStr">
        <is>
          <t>Month</t>
        </is>
      </c>
      <c r="Q4" s="33" t="inlineStr">
        <is>
          <t>Year</t>
        </is>
      </c>
      <c r="R4" s="34" t="inlineStr">
        <is>
          <t>Running Present</t>
        </is>
      </c>
      <c r="S4" s="42" t="inlineStr">
        <is>
          <t>Running Absent</t>
        </is>
      </c>
      <c r="T4" s="60" t="inlineStr">
        <is>
          <t>Running Total</t>
        </is>
      </c>
      <c r="U4" s="41" t="inlineStr">
        <is>
          <t>Att. %</t>
        </is>
      </c>
      <c r="V4" s="36" t="inlineStr">
        <is>
          <t>Remarks</t>
        </is>
      </c>
    </row>
    <row r="5" ht="20" customHeight="1">
      <c r="A5" s="48" t="n">
        <v>1</v>
      </c>
      <c r="B5" s="44" t="inlineStr">
        <is>
          <t>05-01-2026</t>
        </is>
      </c>
      <c r="C5" s="48" t="inlineStr">
        <is>
          <t>Mon</t>
        </is>
      </c>
      <c r="D5" s="48" t="inlineStr">
        <is>
          <t>1st Semester</t>
        </is>
      </c>
      <c r="E5" s="45" t="inlineStr">
        <is>
          <t>CSE101</t>
        </is>
      </c>
      <c r="F5" s="48" t="inlineStr">
        <is>
          <t>Introduction to Programming</t>
        </is>
      </c>
      <c r="G5" s="48" t="inlineStr">
        <is>
          <t>Dr. Rahman</t>
        </is>
      </c>
      <c r="H5" s="48" t="inlineStr">
        <is>
          <t>08:00 AM - 09:30 AM</t>
        </is>
      </c>
      <c r="I5" s="48" t="inlineStr">
        <is>
          <t>Present</t>
        </is>
      </c>
      <c r="J5" s="48" t="inlineStr">
        <is>
          <t>No</t>
        </is>
      </c>
      <c r="K5" s="48" t="inlineStr">
        <is>
          <t>Offline</t>
        </is>
      </c>
      <c r="L5" s="48" t="inlineStr">
        <is>
          <t>Variables &amp; Data Types</t>
        </is>
      </c>
      <c r="M5" s="48" t="n">
        <v>2</v>
      </c>
      <c r="N5" s="48" t="inlineStr"/>
      <c r="O5" s="48">
        <f>WEEKNUM(B5)</f>
        <v/>
      </c>
      <c r="P5" s="48">
        <f>TEXT(B5,"mmmm")</f>
        <v/>
      </c>
      <c r="Q5" s="48">
        <f>YEAR(B5)</f>
        <v/>
      </c>
      <c r="R5" s="48">
        <f>COUNTIFS($I$5:I5,"Present",$E$5:E5,E5)</f>
        <v/>
      </c>
      <c r="S5" s="61">
        <f>IFERROR(COUNTIF(I5:I200,"Present")/COUNTA(I5:I200),0)</f>
        <v/>
      </c>
      <c r="T5" s="48">
        <f>R5+S5</f>
        <v/>
      </c>
      <c r="U5" s="61">
        <f>IF(T5=0,0,R5/T5)</f>
        <v/>
      </c>
      <c r="V5" s="48">
        <f>IF(U5&gt;=0.75,"✅ Good",IF(U5&gt;=0.60,"⚠️ Warning","❌ Low"))</f>
        <v/>
      </c>
    </row>
    <row r="6" ht="20" customHeight="1">
      <c r="A6" s="54" t="n">
        <v>2</v>
      </c>
      <c r="B6" s="50" t="inlineStr">
        <is>
          <t>05-01-2026</t>
        </is>
      </c>
      <c r="C6" s="54" t="inlineStr">
        <is>
          <t>Mon</t>
        </is>
      </c>
      <c r="D6" s="54" t="inlineStr">
        <is>
          <t>1st Semester</t>
        </is>
      </c>
      <c r="E6" s="51" t="inlineStr">
        <is>
          <t>MATH101</t>
        </is>
      </c>
      <c r="F6" s="54" t="inlineStr">
        <is>
          <t>Calculus I</t>
        </is>
      </c>
      <c r="G6" s="54" t="inlineStr">
        <is>
          <t>Prof. Khan</t>
        </is>
      </c>
      <c r="H6" s="54" t="inlineStr">
        <is>
          <t>10:00 AM - 11:30 AM</t>
        </is>
      </c>
      <c r="I6" s="54" t="inlineStr">
        <is>
          <t>Present</t>
        </is>
      </c>
      <c r="J6" s="54" t="inlineStr">
        <is>
          <t>No</t>
        </is>
      </c>
      <c r="K6" s="54" t="inlineStr">
        <is>
          <t>Offline</t>
        </is>
      </c>
      <c r="L6" s="54" t="inlineStr">
        <is>
          <t>Limits</t>
        </is>
      </c>
      <c r="M6" s="54" t="n">
        <v>2</v>
      </c>
      <c r="N6" s="54" t="inlineStr"/>
      <c r="O6" s="54">
        <f>WEEKNUM(B6)</f>
        <v/>
      </c>
      <c r="P6" s="54">
        <f>TEXT(B6,"mmmm")</f>
        <v/>
      </c>
      <c r="Q6" s="54">
        <f>YEAR(B6)</f>
        <v/>
      </c>
      <c r="R6" s="54">
        <f>COUNTIFS($I$5:I6,"Present",$E$5:E6,E6)</f>
        <v/>
      </c>
      <c r="S6" s="54">
        <f>COUNTIFS($I$5:I6,"Absent",$E$5:E6,E6)</f>
        <v/>
      </c>
      <c r="T6" s="54">
        <f>R6+S6</f>
        <v/>
      </c>
      <c r="U6" s="62">
        <f>IF(T6=0,0,R6/T6)</f>
        <v/>
      </c>
      <c r="V6" s="54">
        <f>IF(U6&gt;=0.75,"✅ Good",IF(U6&gt;=0.60,"⚠️ Warning","❌ Low"))</f>
        <v/>
      </c>
    </row>
    <row r="7" ht="20" customHeight="1">
      <c r="A7" s="48" t="n">
        <v>3</v>
      </c>
      <c r="B7" s="44" t="inlineStr">
        <is>
          <t>05-01-2026</t>
        </is>
      </c>
      <c r="C7" s="48" t="inlineStr">
        <is>
          <t>Mon</t>
        </is>
      </c>
      <c r="D7" s="48" t="inlineStr">
        <is>
          <t>1st Semester</t>
        </is>
      </c>
      <c r="E7" s="45" t="inlineStr">
        <is>
          <t>PHY101</t>
        </is>
      </c>
      <c r="F7" s="48" t="inlineStr">
        <is>
          <t>Physics I</t>
        </is>
      </c>
      <c r="G7" s="48" t="inlineStr">
        <is>
          <t>Dr. Ahmed</t>
        </is>
      </c>
      <c r="H7" s="48" t="inlineStr">
        <is>
          <t>12:00 PM - 01:30 PM</t>
        </is>
      </c>
      <c r="I7" s="48" t="inlineStr">
        <is>
          <t>Absent</t>
        </is>
      </c>
      <c r="J7" s="48" t="inlineStr">
        <is>
          <t>No</t>
        </is>
      </c>
      <c r="K7" s="48" t="inlineStr">
        <is>
          <t>Offline</t>
        </is>
      </c>
      <c r="L7" s="48" t="inlineStr">
        <is>
          <t>Motion</t>
        </is>
      </c>
      <c r="M7" s="48" t="n">
        <v>0</v>
      </c>
      <c r="N7" s="48" t="inlineStr"/>
      <c r="O7" s="48">
        <f>WEEKNUM(B7)</f>
        <v/>
      </c>
      <c r="P7" s="48">
        <f>TEXT(B7,"mmmm")</f>
        <v/>
      </c>
      <c r="Q7" s="48">
        <f>YEAR(B7)</f>
        <v/>
      </c>
      <c r="R7" s="48">
        <f>COUNTIFS($I$5:I7,"Present",$E$5:E7,E7)</f>
        <v/>
      </c>
      <c r="S7" s="48">
        <f>COUNTIFS($I$5:I7,"Absent",$E$5:E7,E7)</f>
        <v/>
      </c>
      <c r="T7" s="48">
        <f>R7+S7</f>
        <v/>
      </c>
      <c r="U7" s="61">
        <f>IF(T7=0,0,R7/T7)</f>
        <v/>
      </c>
      <c r="V7" s="48">
        <f>IF(U7&gt;=0.75,"✅ Good",IF(U7&gt;=0.60,"⚠️ Warning","❌ Low"))</f>
        <v/>
      </c>
    </row>
    <row r="8" ht="20" customHeight="1">
      <c r="A8" s="54" t="n">
        <v>4</v>
      </c>
      <c r="B8" s="50" t="inlineStr">
        <is>
          <t>07-01-2026</t>
        </is>
      </c>
      <c r="C8" s="54" t="inlineStr">
        <is>
          <t>Wed</t>
        </is>
      </c>
      <c r="D8" s="54" t="inlineStr">
        <is>
          <t>1st Semester</t>
        </is>
      </c>
      <c r="E8" s="51" t="inlineStr">
        <is>
          <t>CSE101</t>
        </is>
      </c>
      <c r="F8" s="54" t="inlineStr">
        <is>
          <t>Introduction to Programming</t>
        </is>
      </c>
      <c r="G8" s="54" t="inlineStr">
        <is>
          <t>Dr. Rahman</t>
        </is>
      </c>
      <c r="H8" s="54" t="inlineStr">
        <is>
          <t>08:00 AM - 09:30 AM</t>
        </is>
      </c>
      <c r="I8" s="54" t="inlineStr">
        <is>
          <t>Present</t>
        </is>
      </c>
      <c r="J8" s="54" t="inlineStr">
        <is>
          <t>No</t>
        </is>
      </c>
      <c r="K8" s="54" t="inlineStr">
        <is>
          <t>Online</t>
        </is>
      </c>
      <c r="L8" s="54" t="inlineStr">
        <is>
          <t>Control Flow</t>
        </is>
      </c>
      <c r="M8" s="54" t="n">
        <v>2</v>
      </c>
      <c r="N8" s="54" t="inlineStr"/>
      <c r="O8" s="54">
        <f>WEEKNUM(B8)</f>
        <v/>
      </c>
      <c r="P8" s="54">
        <f>TEXT(B8,"mmmm")</f>
        <v/>
      </c>
      <c r="Q8" s="54">
        <f>YEAR(B8)</f>
        <v/>
      </c>
      <c r="R8" s="54">
        <f>COUNTIFS($I$5:I8,"Present",$E$5:E8,E8)</f>
        <v/>
      </c>
      <c r="S8" s="54">
        <f>COUNTIFS($I$5:I8,"Absent",$E$5:E8,E8)</f>
        <v/>
      </c>
      <c r="T8" s="54">
        <f>R8+S8</f>
        <v/>
      </c>
      <c r="U8" s="62">
        <f>IF(T8=0,0,R8/T8)</f>
        <v/>
      </c>
      <c r="V8" s="54">
        <f>IF(U8&gt;=0.75,"✅ Good",IF(U8&gt;=0.60,"⚠️ Warning","❌ Low"))</f>
        <v/>
      </c>
    </row>
    <row r="9" ht="20" customHeight="1">
      <c r="A9" s="48" t="n">
        <v>5</v>
      </c>
      <c r="B9" s="44" t="inlineStr">
        <is>
          <t>07-01-2026</t>
        </is>
      </c>
      <c r="C9" s="48" t="inlineStr">
        <is>
          <t>Wed</t>
        </is>
      </c>
      <c r="D9" s="48" t="inlineStr">
        <is>
          <t>1st Semester</t>
        </is>
      </c>
      <c r="E9" s="45" t="inlineStr">
        <is>
          <t>MATH101</t>
        </is>
      </c>
      <c r="F9" s="48" t="inlineStr">
        <is>
          <t>Calculus I</t>
        </is>
      </c>
      <c r="G9" s="48" t="inlineStr">
        <is>
          <t>Prof. Khan</t>
        </is>
      </c>
      <c r="H9" s="48" t="inlineStr">
        <is>
          <t>10:00 AM - 11:30 AM</t>
        </is>
      </c>
      <c r="I9" s="48" t="inlineStr">
        <is>
          <t>Present</t>
        </is>
      </c>
      <c r="J9" s="48" t="inlineStr">
        <is>
          <t>Yes</t>
        </is>
      </c>
      <c r="K9" s="48" t="inlineStr">
        <is>
          <t>Offline</t>
        </is>
      </c>
      <c r="L9" s="48" t="inlineStr">
        <is>
          <t>Derivatives</t>
        </is>
      </c>
      <c r="M9" s="48" t="n">
        <v>2</v>
      </c>
      <c r="N9" s="48" t="inlineStr"/>
      <c r="O9" s="48">
        <f>WEEKNUM(B9)</f>
        <v/>
      </c>
      <c r="P9" s="48">
        <f>TEXT(B9,"mmmm")</f>
        <v/>
      </c>
      <c r="Q9" s="48">
        <f>YEAR(B9)</f>
        <v/>
      </c>
      <c r="R9" s="48">
        <f>COUNTIFS($I$5:I9,"Present",$E$5:E9,E9)</f>
        <v/>
      </c>
      <c r="S9" s="48">
        <f>COUNTIFS($I$5:I9,"Absent",$E$5:E9,E9)</f>
        <v/>
      </c>
      <c r="T9" s="48">
        <f>R9+S9</f>
        <v/>
      </c>
      <c r="U9" s="61">
        <f>IF(T9=0,0,R9/T9)</f>
        <v/>
      </c>
      <c r="V9" s="48">
        <f>IF(U9&gt;=0.75,"✅ Good",IF(U9&gt;=0.60,"⚠️ Warning","❌ Low"))</f>
        <v/>
      </c>
    </row>
    <row r="10" ht="20" customHeight="1">
      <c r="A10" s="54" t="n">
        <v>6</v>
      </c>
      <c r="B10" s="50" t="inlineStr">
        <is>
          <t>02-02-2026</t>
        </is>
      </c>
      <c r="C10" s="54" t="inlineStr">
        <is>
          <t>Mon</t>
        </is>
      </c>
      <c r="D10" s="54" t="inlineStr">
        <is>
          <t>2nd Semester</t>
        </is>
      </c>
      <c r="E10" s="51" t="inlineStr">
        <is>
          <t>CSE201</t>
        </is>
      </c>
      <c r="F10" s="54" t="inlineStr">
        <is>
          <t>Data Structures</t>
        </is>
      </c>
      <c r="G10" s="54" t="inlineStr">
        <is>
          <t>Dr. Islam</t>
        </is>
      </c>
      <c r="H10" s="54" t="inlineStr">
        <is>
          <t>09:00 AM - 10:30 AM</t>
        </is>
      </c>
      <c r="I10" s="54" t="inlineStr">
        <is>
          <t>Present</t>
        </is>
      </c>
      <c r="J10" s="54" t="inlineStr">
        <is>
          <t>No</t>
        </is>
      </c>
      <c r="K10" s="54" t="inlineStr">
        <is>
          <t>Offline</t>
        </is>
      </c>
      <c r="L10" s="54" t="inlineStr">
        <is>
          <t>Arrays</t>
        </is>
      </c>
      <c r="M10" s="54" t="n">
        <v>2</v>
      </c>
      <c r="N10" s="54" t="inlineStr"/>
      <c r="O10" s="54">
        <f>WEEKNUM(B10)</f>
        <v/>
      </c>
      <c r="P10" s="54">
        <f>TEXT(B10,"mmmm")</f>
        <v/>
      </c>
      <c r="Q10" s="54">
        <f>YEAR(B10)</f>
        <v/>
      </c>
      <c r="R10" s="54">
        <f>COUNTIFS($I$5:I10,"Present",$E$5:E10,E10)</f>
        <v/>
      </c>
      <c r="S10" s="54">
        <f>COUNTIFS($I$5:I10,"Absent",$E$5:E10,E10)</f>
        <v/>
      </c>
      <c r="T10" s="54">
        <f>R10+S10</f>
        <v/>
      </c>
      <c r="U10" s="62">
        <f>IF(T10=0,0,R10/T10)</f>
        <v/>
      </c>
      <c r="V10" s="54">
        <f>IF(U10&gt;=0.75,"✅ Good",IF(U10&gt;=0.60,"⚠️ Warning","❌ Low"))</f>
        <v/>
      </c>
    </row>
    <row r="11" ht="20" customHeight="1">
      <c r="A11" s="48" t="n">
        <v>7</v>
      </c>
      <c r="B11" s="44" t="inlineStr">
        <is>
          <t>04-02-2026</t>
        </is>
      </c>
      <c r="C11" s="48" t="inlineStr">
        <is>
          <t>Wed</t>
        </is>
      </c>
      <c r="D11" s="48" t="inlineStr">
        <is>
          <t>2nd Semester</t>
        </is>
      </c>
      <c r="E11" s="45" t="inlineStr">
        <is>
          <t>CSE201</t>
        </is>
      </c>
      <c r="F11" s="48" t="inlineStr">
        <is>
          <t>Data Structures</t>
        </is>
      </c>
      <c r="G11" s="48" t="inlineStr">
        <is>
          <t>Dr. Islam</t>
        </is>
      </c>
      <c r="H11" s="48" t="inlineStr">
        <is>
          <t>09:00 AM - 10:30 AM</t>
        </is>
      </c>
      <c r="I11" s="48" t="inlineStr">
        <is>
          <t>Present</t>
        </is>
      </c>
      <c r="J11" s="48" t="inlineStr">
        <is>
          <t>No</t>
        </is>
      </c>
      <c r="K11" s="48" t="inlineStr">
        <is>
          <t>Offline</t>
        </is>
      </c>
      <c r="L11" s="48" t="inlineStr">
        <is>
          <t>Linked Lists</t>
        </is>
      </c>
      <c r="M11" s="48" t="n">
        <v>2</v>
      </c>
      <c r="N11" s="48" t="inlineStr"/>
      <c r="O11" s="48">
        <f>WEEKNUM(B11)</f>
        <v/>
      </c>
      <c r="P11" s="48">
        <f>TEXT(B11,"mmmm")</f>
        <v/>
      </c>
      <c r="Q11" s="48">
        <f>YEAR(B11)</f>
        <v/>
      </c>
      <c r="R11" s="48">
        <f>COUNTIFS($I$5:I11,"Present",$E$5:E11,E11)</f>
        <v/>
      </c>
      <c r="S11" s="48">
        <f>COUNTIFS($I$5:I11,"Absent",$E$5:E11,E11)</f>
        <v/>
      </c>
      <c r="T11" s="48">
        <f>R11+S11</f>
        <v/>
      </c>
      <c r="U11" s="61">
        <f>IF(T11=0,0,R11/T11)</f>
        <v/>
      </c>
      <c r="V11" s="48">
        <f>IF(U11&gt;=0.75,"✅ Good",IF(U11&gt;=0.60,"⚠️ Warning","❌ Low"))</f>
        <v/>
      </c>
    </row>
    <row r="12" ht="20" customHeight="1">
      <c r="A12" s="54" t="n">
        <v>8</v>
      </c>
      <c r="B12" s="50" t="inlineStr">
        <is>
          <t>04-02-2026</t>
        </is>
      </c>
      <c r="C12" s="54" t="inlineStr">
        <is>
          <t>Wed</t>
        </is>
      </c>
      <c r="D12" s="54" t="inlineStr">
        <is>
          <t>2nd Semester</t>
        </is>
      </c>
      <c r="E12" s="51" t="inlineStr">
        <is>
          <t>MATH201</t>
        </is>
      </c>
      <c r="F12" s="54" t="inlineStr">
        <is>
          <t>Calculus II</t>
        </is>
      </c>
      <c r="G12" s="54" t="inlineStr">
        <is>
          <t>Prof. Hossain</t>
        </is>
      </c>
      <c r="H12" s="54" t="inlineStr">
        <is>
          <t>11:00 AM - 12:30 PM</t>
        </is>
      </c>
      <c r="I12" s="54" t="inlineStr">
        <is>
          <t>Absent</t>
        </is>
      </c>
      <c r="J12" s="54" t="inlineStr">
        <is>
          <t>No</t>
        </is>
      </c>
      <c r="K12" s="54" t="inlineStr">
        <is>
          <t>Offline</t>
        </is>
      </c>
      <c r="L12" s="54" t="inlineStr">
        <is>
          <t>Integration</t>
        </is>
      </c>
      <c r="M12" s="54" t="n">
        <v>0</v>
      </c>
      <c r="N12" s="54" t="inlineStr"/>
      <c r="O12" s="54">
        <f>WEEKNUM(B12)</f>
        <v/>
      </c>
      <c r="P12" s="54">
        <f>TEXT(B12,"mmmm")</f>
        <v/>
      </c>
      <c r="Q12" s="54">
        <f>YEAR(B12)</f>
        <v/>
      </c>
      <c r="R12" s="54">
        <f>COUNTIFS($I$5:I12,"Present",$E$5:E12,E12)</f>
        <v/>
      </c>
      <c r="S12" s="54">
        <f>COUNTIFS($I$5:I12,"Absent",$E$5:E12,E12)</f>
        <v/>
      </c>
      <c r="T12" s="54">
        <f>R12+S12</f>
        <v/>
      </c>
      <c r="U12" s="62">
        <f>IF(T12=0,0,R12/T12)</f>
        <v/>
      </c>
      <c r="V12" s="54">
        <f>IF(U12&gt;=0.75,"✅ Good",IF(U12&gt;=0.60,"⚠️ Warning","❌ Low"))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</row>
    <row r="210">
      <c r="A210" s="63" t="inlineStr">
        <is>
          <t>📊 COURSE-WISE ATTENDANCE SUMMARY</t>
        </is>
      </c>
      <c r="O210" s="11" t="n"/>
      <c r="P210" s="11" t="n"/>
      <c r="Q210" s="11" t="n"/>
      <c r="R210" s="11" t="n"/>
      <c r="S210" s="11" t="n"/>
      <c r="T210" s="11" t="n"/>
      <c r="U210" s="11" t="n"/>
      <c r="V210" s="11" t="n"/>
    </row>
    <row r="211">
      <c r="A211" s="64" t="inlineStr">
        <is>
          <t>Course Code</t>
        </is>
      </c>
      <c r="B211" s="65" t="inlineStr">
        <is>
          <t>Course Title</t>
        </is>
      </c>
      <c r="C211" s="66" t="inlineStr">
        <is>
          <t>Total Classes</t>
        </is>
      </c>
      <c r="D211" s="64" t="inlineStr">
        <is>
          <t>Present</t>
        </is>
      </c>
      <c r="E211" s="67" t="inlineStr">
        <is>
          <t>Absent</t>
        </is>
      </c>
      <c r="F211" s="68" t="inlineStr">
        <is>
          <t>Extra</t>
        </is>
      </c>
      <c r="G211" s="69" t="inlineStr">
        <is>
          <t>Attendance %</t>
        </is>
      </c>
      <c r="H211" s="70" t="inlineStr">
        <is>
          <t>Status</t>
        </is>
      </c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</row>
    <row r="212">
      <c r="A212" s="45" t="inlineStr">
        <is>
          <t>CSE101</t>
        </is>
      </c>
      <c r="B212" s="46" t="inlineStr">
        <is>
          <t>Introduction to Programming</t>
        </is>
      </c>
      <c r="C212" s="48">
        <f>COUNTIF($E$5:$E$200,A212)</f>
        <v/>
      </c>
      <c r="D212" s="45">
        <f>COUNTIFS($E$5:$E$200,A212,$I$5:$I$200,"Present")</f>
        <v/>
      </c>
      <c r="E212" s="71">
        <f>COUNTIFS($E$5:$E$200,A212,$I$5:$I$200,"Absent")</f>
        <v/>
      </c>
      <c r="F212" s="47">
        <f>COUNTIFS($E$5:$E$200,A212,$J$5:$J$200,"Yes")</f>
        <v/>
      </c>
      <c r="G212" s="72">
        <f>IF(C212=0,0,D212/C212)</f>
        <v/>
      </c>
      <c r="H212" s="48">
        <f>IF(G212&gt;=0.75,"✅ Good",IF(G212&gt;=0.60,"⚠️ Warning","❌ Critical"))</f>
        <v/>
      </c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</row>
    <row r="213">
      <c r="A213" s="51" t="inlineStr">
        <is>
          <t>MATH101</t>
        </is>
      </c>
      <c r="B213" s="52" t="inlineStr">
        <is>
          <t>Calculus I</t>
        </is>
      </c>
      <c r="C213" s="54">
        <f>COUNTIF($E$5:$E$200,A213)</f>
        <v/>
      </c>
      <c r="D213" s="51">
        <f>COUNTIFS($E$5:$E$200,A213,$I$5:$I$200,"Present")</f>
        <v/>
      </c>
      <c r="E213" s="73">
        <f>COUNTIFS($E$5:$E$200,A213,$I$5:$I$200,"Absent")</f>
        <v/>
      </c>
      <c r="F213" s="53">
        <f>COUNTIFS($E$5:$E$200,A213,$J$5:$J$200,"Yes")</f>
        <v/>
      </c>
      <c r="G213" s="74">
        <f>IF(C213=0,0,D213/C213)</f>
        <v/>
      </c>
      <c r="H213" s="54">
        <f>IF(G213&gt;=0.75,"✅ Good",IF(G213&gt;=0.60,"⚠️ Warning","❌ Critical"))</f>
        <v/>
      </c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</row>
    <row r="214">
      <c r="A214" s="45" t="inlineStr">
        <is>
          <t>PHY101</t>
        </is>
      </c>
      <c r="B214" s="46" t="inlineStr">
        <is>
          <t>Physics I</t>
        </is>
      </c>
      <c r="C214" s="48">
        <f>COUNTIF($E$5:$E$200,A214)</f>
        <v/>
      </c>
      <c r="D214" s="45">
        <f>COUNTIFS($E$5:$E$200,A214,$I$5:$I$200,"Present")</f>
        <v/>
      </c>
      <c r="E214" s="71">
        <f>COUNTIFS($E$5:$E$200,A214,$I$5:$I$200,"Absent")</f>
        <v/>
      </c>
      <c r="F214" s="47">
        <f>COUNTIFS($E$5:$E$200,A214,$J$5:$J$200,"Yes")</f>
        <v/>
      </c>
      <c r="G214" s="72">
        <f>IF(C214=0,0,D214/C214)</f>
        <v/>
      </c>
      <c r="H214" s="48">
        <f>IF(G214&gt;=0.75,"✅ Good",IF(G214&gt;=0.60,"⚠️ Warning","❌ Critical"))</f>
        <v/>
      </c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</row>
    <row r="215">
      <c r="A215" s="51" t="inlineStr">
        <is>
          <t>CSE201</t>
        </is>
      </c>
      <c r="B215" s="52" t="inlineStr">
        <is>
          <t>Data Structures</t>
        </is>
      </c>
      <c r="C215" s="54">
        <f>COUNTIF($E$5:$E$200,A215)</f>
        <v/>
      </c>
      <c r="D215" s="51">
        <f>COUNTIFS($E$5:$E$200,A215,$I$5:$I$200,"Present")</f>
        <v/>
      </c>
      <c r="E215" s="73">
        <f>COUNTIFS($E$5:$E$200,A215,$I$5:$I$200,"Absent")</f>
        <v/>
      </c>
      <c r="F215" s="53">
        <f>COUNTIFS($E$5:$E$200,A215,$J$5:$J$200,"Yes")</f>
        <v/>
      </c>
      <c r="G215" s="74">
        <f>IF(C215=0,0,D215/C215)</f>
        <v/>
      </c>
      <c r="H215" s="54">
        <f>IF(G215&gt;=0.75,"✅ Good",IF(G215&gt;=0.60,"⚠️ Warning","❌ Critical"))</f>
        <v/>
      </c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</row>
    <row r="216">
      <c r="A216" s="45" t="inlineStr">
        <is>
          <t>MATH201</t>
        </is>
      </c>
      <c r="B216" s="46" t="inlineStr">
        <is>
          <t>Calculus II</t>
        </is>
      </c>
      <c r="C216" s="48">
        <f>COUNTIF($E$5:$E$200,A216)</f>
        <v/>
      </c>
      <c r="D216" s="45">
        <f>COUNTIFS($E$5:$E$200,A216,$I$5:$I$200,"Present")</f>
        <v/>
      </c>
      <c r="E216" s="71">
        <f>COUNTIFS($E$5:$E$200,A216,$I$5:$I$200,"Absent")</f>
        <v/>
      </c>
      <c r="F216" s="47">
        <f>COUNTIFS($E$5:$E$200,A216,$J$5:$J$200,"Yes")</f>
        <v/>
      </c>
      <c r="G216" s="72">
        <f>IF(C216=0,0,D216/C216)</f>
        <v/>
      </c>
      <c r="H216" s="48">
        <f>IF(G216&gt;=0.75,"✅ Good",IF(G216&gt;=0.60,"⚠️ Warning","❌ Critical"))</f>
        <v/>
      </c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</row>
  </sheetData>
  <mergeCells count="4">
    <mergeCell ref="A2:V2"/>
    <mergeCell ref="A1:V1"/>
    <mergeCell ref="A3:C3"/>
    <mergeCell ref="A210:N210"/>
  </mergeCells>
  <conditionalFormatting sqref="I5:I200">
    <cfRule type="expression" priority="1" dxfId="0">
      <formula>I5="Present"</formula>
    </cfRule>
    <cfRule type="expression" priority="2" dxfId="2">
      <formula>I5="Absent"</formula>
    </cfRule>
  </conditionalFormatting>
  <conditionalFormatting sqref="U5:U200">
    <cfRule type="colorScale" priority="3">
      <colorScale>
        <cfvo type="num" val="0"/>
        <cfvo type="num" val="0.6"/>
        <cfvo type="num" val="1"/>
        <color rgb="00FF4444"/>
        <color rgb="00FFD700"/>
        <color rgb="0000FF88"/>
      </colorScale>
    </cfRule>
  </conditionalFormatting>
  <dataValidations count="4">
    <dataValidation sqref="D3" showDropDown="0" showInputMessage="0" showErrorMessage="0" allowBlank="0" type="list">
      <formula1>"All Semesters,1st Semester,2nd Semester,3rd Semester,4th Semester,5th Semester,6th Semester,7th Semester,8th Semester"</formula1>
    </dataValidation>
    <dataValidation sqref="I5:I200" showDropDown="0" showInputMessage="0" showErrorMessage="0" allowBlank="0" type="list">
      <formula1>"Present,Absent"</formula1>
    </dataValidation>
    <dataValidation sqref="J5:J200" showDropDown="0" showInputMessage="0" showErrorMessage="0" allowBlank="0" type="list">
      <formula1>"Yes,No"</formula1>
    </dataValidation>
    <dataValidation sqref="K5:K200" showDropDown="0" showInputMessage="0" showErrorMessage="0" allowBlank="0" type="list">
      <formula1>"Online,Offline,Hybrid"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O10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26" customWidth="1" min="4" max="4"/>
    <col width="12" customWidth="1" min="5" max="5"/>
    <col width="8" customWidth="1" min="6" max="6"/>
    <col width="24" customWidth="1" min="7" max="7"/>
    <col width="12" customWidth="1" min="8" max="8"/>
    <col width="12" customWidth="1" min="9" max="9"/>
    <col width="14" customWidth="1" min="10" max="10"/>
    <col width="18" customWidth="1" min="11" max="11"/>
    <col width="11" customWidth="1" min="12" max="12"/>
    <col width="10" customWidth="1" min="13" max="13"/>
    <col width="11" customWidth="1" min="14" max="14"/>
    <col width="18" customWidth="1" min="15" max="15"/>
  </cols>
  <sheetData>
    <row r="1">
      <c r="A1" s="75" t="inlineStr">
        <is>
          <t>📖  DONE STUDY TRACKER</t>
        </is>
      </c>
    </row>
    <row r="2">
      <c r="A2" s="30" t="inlineStr">
        <is>
          <t xml:space="preserve">  Track which classes you have studied. Mark sessions as Done or Pending.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 ht="26" customHeight="1">
      <c r="A4" s="32" t="inlineStr">
        <is>
          <t>#</t>
        </is>
      </c>
      <c r="B4" s="38" t="inlineStr">
        <is>
          <t>Semester</t>
        </is>
      </c>
      <c r="C4" s="34" t="inlineStr">
        <is>
          <t>Course Code</t>
        </is>
      </c>
      <c r="D4" s="35" t="inlineStr">
        <is>
          <t>Course Title</t>
        </is>
      </c>
      <c r="E4" s="33" t="inlineStr">
        <is>
          <t>Class Date</t>
        </is>
      </c>
      <c r="F4" s="37" t="inlineStr">
        <is>
          <t>Day</t>
        </is>
      </c>
      <c r="G4" s="60" t="inlineStr">
        <is>
          <t>Topic Covered</t>
        </is>
      </c>
      <c r="H4" s="41" t="inlineStr">
        <is>
          <t>Study Status</t>
        </is>
      </c>
      <c r="I4" s="40" t="inlineStr">
        <is>
          <t>Study Date</t>
        </is>
      </c>
      <c r="J4" s="36" t="inlineStr">
        <is>
          <t>Time Spent (hrs)</t>
        </is>
      </c>
      <c r="K4" s="32" t="inlineStr">
        <is>
          <t>Notes</t>
        </is>
      </c>
      <c r="L4" s="42" t="inlineStr">
        <is>
          <t>Difficulty</t>
        </is>
      </c>
      <c r="M4" s="39" t="inlineStr">
        <is>
          <t>Priority</t>
        </is>
      </c>
      <c r="N4" s="34" t="inlineStr">
        <is>
          <t>% Complete</t>
        </is>
      </c>
      <c r="O4" s="33" t="inlineStr">
        <is>
          <t>Remarks</t>
        </is>
      </c>
    </row>
    <row r="5" ht="20" customHeight="1">
      <c r="A5" s="48" t="n">
        <v>1</v>
      </c>
      <c r="B5" s="48" t="inlineStr">
        <is>
          <t>1st Semester</t>
        </is>
      </c>
      <c r="C5" s="45" t="inlineStr">
        <is>
          <t>CSE101</t>
        </is>
      </c>
      <c r="D5" s="48" t="inlineStr">
        <is>
          <t>Introduction to Programming</t>
        </is>
      </c>
      <c r="E5" s="44" t="inlineStr">
        <is>
          <t>2026-01-05</t>
        </is>
      </c>
      <c r="F5" s="48" t="inlineStr">
        <is>
          <t>Mon</t>
        </is>
      </c>
      <c r="G5" s="48" t="inlineStr">
        <is>
          <t>Variables &amp; Data Types</t>
        </is>
      </c>
      <c r="H5" s="48" t="inlineStr">
        <is>
          <t>Done</t>
        </is>
      </c>
      <c r="I5" s="48" t="inlineStr">
        <is>
          <t>2026-01-06</t>
        </is>
      </c>
      <c r="J5" s="48" t="n">
        <v>2.5</v>
      </c>
      <c r="K5" s="48" t="inlineStr"/>
      <c r="L5" s="61">
        <f>IFERROR(COUNTIF(H5:H100,"Done")/COUNTA(H5:H100),0)</f>
        <v/>
      </c>
      <c r="M5" s="48" t="inlineStr">
        <is>
          <t>Medium</t>
        </is>
      </c>
      <c r="N5" s="48">
        <f>IF(H5="Done",1,0)</f>
        <v/>
      </c>
      <c r="O5" s="48">
        <f>IF(H5="Done","✅ Complete","⏳ Pending")</f>
        <v/>
      </c>
    </row>
    <row r="6" ht="20" customHeight="1">
      <c r="A6" s="54" t="n">
        <v>2</v>
      </c>
      <c r="B6" s="54" t="inlineStr">
        <is>
          <t>1st Semester</t>
        </is>
      </c>
      <c r="C6" s="51" t="inlineStr">
        <is>
          <t>MATH101</t>
        </is>
      </c>
      <c r="D6" s="54" t="inlineStr">
        <is>
          <t>Calculus I</t>
        </is>
      </c>
      <c r="E6" s="50" t="inlineStr">
        <is>
          <t>2026-01-05</t>
        </is>
      </c>
      <c r="F6" s="54" t="inlineStr">
        <is>
          <t>Mon</t>
        </is>
      </c>
      <c r="G6" s="54" t="inlineStr">
        <is>
          <t>Limits</t>
        </is>
      </c>
      <c r="H6" s="54" t="inlineStr">
        <is>
          <t>Done</t>
        </is>
      </c>
      <c r="I6" s="54" t="inlineStr">
        <is>
          <t>2026-01-07</t>
        </is>
      </c>
      <c r="J6" s="54" t="n">
        <v>3</v>
      </c>
      <c r="K6" s="54" t="inlineStr"/>
      <c r="L6" s="54" t="inlineStr">
        <is>
          <t>Medium</t>
        </is>
      </c>
      <c r="M6" s="54" t="inlineStr">
        <is>
          <t>Medium</t>
        </is>
      </c>
      <c r="N6" s="54">
        <f>IF(H6="Done",1,0)</f>
        <v/>
      </c>
      <c r="O6" s="54">
        <f>IF(H6="Done","✅ Complete","⏳ Pending")</f>
        <v/>
      </c>
    </row>
    <row r="7" ht="20" customHeight="1">
      <c r="A7" s="48" t="n">
        <v>3</v>
      </c>
      <c r="B7" s="48" t="inlineStr">
        <is>
          <t>1st Semester</t>
        </is>
      </c>
      <c r="C7" s="45" t="inlineStr">
        <is>
          <t>PHY101</t>
        </is>
      </c>
      <c r="D7" s="48" t="inlineStr">
        <is>
          <t>Physics I</t>
        </is>
      </c>
      <c r="E7" s="44" t="inlineStr">
        <is>
          <t>2026-01-05</t>
        </is>
      </c>
      <c r="F7" s="48" t="inlineStr">
        <is>
          <t>Mon</t>
        </is>
      </c>
      <c r="G7" s="48" t="inlineStr">
        <is>
          <t>Motion</t>
        </is>
      </c>
      <c r="H7" s="48" t="inlineStr">
        <is>
          <t>Pending</t>
        </is>
      </c>
      <c r="I7" s="48" t="inlineStr"/>
      <c r="J7" s="48" t="inlineStr"/>
      <c r="K7" s="48" t="inlineStr"/>
      <c r="L7" s="48" t="inlineStr">
        <is>
          <t>Hard</t>
        </is>
      </c>
      <c r="M7" s="48" t="inlineStr">
        <is>
          <t>High</t>
        </is>
      </c>
      <c r="N7" s="48">
        <f>IF(H7="Done",1,0)</f>
        <v/>
      </c>
      <c r="O7" s="48">
        <f>IF(H7="Done","✅ Complete","⏳ Pending")</f>
        <v/>
      </c>
    </row>
    <row r="8" ht="20" customHeight="1">
      <c r="A8" s="54" t="n">
        <v>4</v>
      </c>
      <c r="B8" s="54" t="inlineStr">
        <is>
          <t>1st Semester</t>
        </is>
      </c>
      <c r="C8" s="51" t="inlineStr">
        <is>
          <t>CSE101</t>
        </is>
      </c>
      <c r="D8" s="54" t="inlineStr">
        <is>
          <t>Introduction to Programming</t>
        </is>
      </c>
      <c r="E8" s="50" t="inlineStr">
        <is>
          <t>2026-01-07</t>
        </is>
      </c>
      <c r="F8" s="54" t="inlineStr">
        <is>
          <t>Wed</t>
        </is>
      </c>
      <c r="G8" s="54" t="inlineStr">
        <is>
          <t>Control Flow</t>
        </is>
      </c>
      <c r="H8" s="54" t="inlineStr">
        <is>
          <t>Done</t>
        </is>
      </c>
      <c r="I8" s="54" t="inlineStr">
        <is>
          <t>2026-01-08</t>
        </is>
      </c>
      <c r="J8" s="54" t="n">
        <v>1.5</v>
      </c>
      <c r="K8" s="54" t="inlineStr"/>
      <c r="L8" s="54" t="inlineStr">
        <is>
          <t>Easy</t>
        </is>
      </c>
      <c r="M8" s="54" t="inlineStr">
        <is>
          <t>Medium</t>
        </is>
      </c>
      <c r="N8" s="54">
        <f>IF(H8="Done",1,0)</f>
        <v/>
      </c>
      <c r="O8" s="54">
        <f>IF(H8="Done","✅ Complete","⏳ Pending")</f>
        <v/>
      </c>
    </row>
    <row r="9" ht="20" customHeight="1">
      <c r="A9" s="48" t="n">
        <v>5</v>
      </c>
      <c r="B9" s="48" t="inlineStr">
        <is>
          <t>1st Semester</t>
        </is>
      </c>
      <c r="C9" s="45" t="inlineStr">
        <is>
          <t>MATH101</t>
        </is>
      </c>
      <c r="D9" s="48" t="inlineStr">
        <is>
          <t>Calculus I</t>
        </is>
      </c>
      <c r="E9" s="44" t="inlineStr">
        <is>
          <t>2026-01-07</t>
        </is>
      </c>
      <c r="F9" s="48" t="inlineStr">
        <is>
          <t>Wed</t>
        </is>
      </c>
      <c r="G9" s="48" t="inlineStr">
        <is>
          <t>Derivatives</t>
        </is>
      </c>
      <c r="H9" s="48" t="inlineStr">
        <is>
          <t>Pending</t>
        </is>
      </c>
      <c r="I9" s="48" t="inlineStr"/>
      <c r="J9" s="48" t="inlineStr"/>
      <c r="K9" s="48" t="inlineStr"/>
      <c r="L9" s="48" t="inlineStr">
        <is>
          <t>Hard</t>
        </is>
      </c>
      <c r="M9" s="48" t="inlineStr">
        <is>
          <t>High</t>
        </is>
      </c>
      <c r="N9" s="48">
        <f>IF(H9="Done",1,0)</f>
        <v/>
      </c>
      <c r="O9" s="48">
        <f>IF(H9="Done","✅ Complete","⏳ Pending")</f>
        <v/>
      </c>
    </row>
    <row r="10" ht="20" customHeight="1">
      <c r="A10" s="54" t="n">
        <v>6</v>
      </c>
      <c r="B10" s="54" t="inlineStr">
        <is>
          <t>2nd Semester</t>
        </is>
      </c>
      <c r="C10" s="51" t="inlineStr">
        <is>
          <t>CSE201</t>
        </is>
      </c>
      <c r="D10" s="54" t="inlineStr">
        <is>
          <t>Data Structures</t>
        </is>
      </c>
      <c r="E10" s="50" t="inlineStr">
        <is>
          <t>2026-02-02</t>
        </is>
      </c>
      <c r="F10" s="54" t="inlineStr">
        <is>
          <t>Mon</t>
        </is>
      </c>
      <c r="G10" s="54" t="inlineStr">
        <is>
          <t>Arrays</t>
        </is>
      </c>
      <c r="H10" s="54" t="inlineStr">
        <is>
          <t>Done</t>
        </is>
      </c>
      <c r="I10" s="54" t="inlineStr">
        <is>
          <t>2026-02-03</t>
        </is>
      </c>
      <c r="J10" s="54" t="n">
        <v>2</v>
      </c>
      <c r="K10" s="54" t="inlineStr"/>
      <c r="L10" s="54" t="inlineStr">
        <is>
          <t>Medium</t>
        </is>
      </c>
      <c r="M10" s="54" t="inlineStr">
        <is>
          <t>Medium</t>
        </is>
      </c>
      <c r="N10" s="54">
        <f>IF(H10="Done",1,0)</f>
        <v/>
      </c>
      <c r="O10" s="54">
        <f>IF(H10="Done","✅ Complete","⏳ Pending")</f>
        <v/>
      </c>
    </row>
    <row r="11" ht="20" customHeight="1">
      <c r="A11" s="48" t="n">
        <v>7</v>
      </c>
      <c r="B11" s="48" t="inlineStr">
        <is>
          <t>2nd Semester</t>
        </is>
      </c>
      <c r="C11" s="45" t="inlineStr">
        <is>
          <t>CSE201</t>
        </is>
      </c>
      <c r="D11" s="48" t="inlineStr">
        <is>
          <t>Data Structures</t>
        </is>
      </c>
      <c r="E11" s="44" t="inlineStr">
        <is>
          <t>2026-02-04</t>
        </is>
      </c>
      <c r="F11" s="48" t="inlineStr">
        <is>
          <t>Wed</t>
        </is>
      </c>
      <c r="G11" s="48" t="inlineStr">
        <is>
          <t>Linked Lists</t>
        </is>
      </c>
      <c r="H11" s="48" t="inlineStr">
        <is>
          <t>Pending</t>
        </is>
      </c>
      <c r="I11" s="48" t="inlineStr"/>
      <c r="J11" s="48" t="inlineStr"/>
      <c r="K11" s="48" t="inlineStr"/>
      <c r="L11" s="48" t="inlineStr">
        <is>
          <t>Hard</t>
        </is>
      </c>
      <c r="M11" s="48" t="inlineStr">
        <is>
          <t>High</t>
        </is>
      </c>
      <c r="N11" s="48">
        <f>IF(H11="Done",1,0)</f>
        <v/>
      </c>
      <c r="O11" s="48">
        <f>IF(H11="Done","✅ Complete","⏳ Pending")</f>
        <v/>
      </c>
    </row>
    <row r="12" ht="20" customHeight="1">
      <c r="A12" s="54" t="n">
        <v>8</v>
      </c>
      <c r="B12" s="54" t="inlineStr">
        <is>
          <t>2nd Semester</t>
        </is>
      </c>
      <c r="C12" s="51" t="inlineStr">
        <is>
          <t>MATH201</t>
        </is>
      </c>
      <c r="D12" s="54" t="inlineStr">
        <is>
          <t>Calculus II</t>
        </is>
      </c>
      <c r="E12" s="50" t="inlineStr">
        <is>
          <t>2026-02-04</t>
        </is>
      </c>
      <c r="F12" s="54" t="inlineStr">
        <is>
          <t>Wed</t>
        </is>
      </c>
      <c r="G12" s="54" t="inlineStr">
        <is>
          <t>Integration</t>
        </is>
      </c>
      <c r="H12" s="54" t="inlineStr">
        <is>
          <t>Pending</t>
        </is>
      </c>
      <c r="I12" s="54" t="inlineStr"/>
      <c r="J12" s="54" t="inlineStr"/>
      <c r="K12" s="54" t="inlineStr"/>
      <c r="L12" s="54" t="inlineStr">
        <is>
          <t>Hard</t>
        </is>
      </c>
      <c r="M12" s="54" t="inlineStr">
        <is>
          <t>High</t>
        </is>
      </c>
      <c r="N12" s="54">
        <f>IF(H12="Done",1,0)</f>
        <v/>
      </c>
      <c r="O12" s="54">
        <f>IF(H12="Done","✅ Complete","⏳ Pending")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76" t="inlineStr">
        <is>
          <t>📊 COURSE-WISE STUDY PROGRESS</t>
        </is>
      </c>
    </row>
    <row r="16">
      <c r="A16" s="70" t="inlineStr">
        <is>
          <t>Course</t>
        </is>
      </c>
      <c r="B16" s="70" t="inlineStr">
        <is>
          <t>Total Sessions</t>
        </is>
      </c>
      <c r="C16" s="70" t="inlineStr">
        <is>
          <t>Done</t>
        </is>
      </c>
      <c r="D16" s="70" t="inlineStr">
        <is>
          <t>Pending</t>
        </is>
      </c>
      <c r="E16" s="70" t="inlineStr">
        <is>
          <t>Progress %</t>
        </is>
      </c>
      <c r="F16" s="70" t="inlineStr">
        <is>
          <t>Time Spent</t>
        </is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</row>
    <row r="17">
      <c r="A17" s="45" t="inlineStr">
        <is>
          <t>CSE101</t>
        </is>
      </c>
      <c r="B17" s="48">
        <f>COUNTIF($C$5:$C$100,A17)</f>
        <v/>
      </c>
      <c r="C17" s="48">
        <f>COUNTIFS($C$5:$C$100,A17,$H$5:$H$100,"Done")</f>
        <v/>
      </c>
      <c r="D17" s="48">
        <f>COUNTIFS($C$5:$C$100,A17,$H$5:$H$100,"Pending")</f>
        <v/>
      </c>
      <c r="E17" s="61">
        <f>IFERROR(C17/B17,0)</f>
        <v/>
      </c>
      <c r="F17" s="47">
        <f>SUMIF($C$5:$C$100,A17,$J$5:$J$100)&amp;" hrs"</f>
        <v/>
      </c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51" t="inlineStr">
        <is>
          <t>MATH101</t>
        </is>
      </c>
      <c r="B18" s="54">
        <f>COUNTIF($C$5:$C$100,A18)</f>
        <v/>
      </c>
      <c r="C18" s="54">
        <f>COUNTIFS($C$5:$C$100,A18,$H$5:$H$100,"Done")</f>
        <v/>
      </c>
      <c r="D18" s="54">
        <f>COUNTIFS($C$5:$C$100,A18,$H$5:$H$100,"Pending")</f>
        <v/>
      </c>
      <c r="E18" s="62">
        <f>IFERROR(C18/B18,0)</f>
        <v/>
      </c>
      <c r="F18" s="53">
        <f>SUMIF($C$5:$C$100,A18,$J$5:$J$100)&amp;" hrs"</f>
        <v/>
      </c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</row>
    <row r="19">
      <c r="A19" s="45" t="inlineStr">
        <is>
          <t>PHY101</t>
        </is>
      </c>
      <c r="B19" s="48">
        <f>COUNTIF($C$5:$C$100,A19)</f>
        <v/>
      </c>
      <c r="C19" s="48">
        <f>COUNTIFS($C$5:$C$100,A19,$H$5:$H$100,"Done")</f>
        <v/>
      </c>
      <c r="D19" s="48">
        <f>COUNTIFS($C$5:$C$100,A19,$H$5:$H$100,"Pending")</f>
        <v/>
      </c>
      <c r="E19" s="61">
        <f>IFERROR(C19/B19,0)</f>
        <v/>
      </c>
      <c r="F19" s="47">
        <f>SUMIF($C$5:$C$100,A19,$J$5:$J$100)&amp;" hrs"</f>
        <v/>
      </c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51" t="inlineStr">
        <is>
          <t>CSE201</t>
        </is>
      </c>
      <c r="B20" s="54">
        <f>COUNTIF($C$5:$C$100,A20)</f>
        <v/>
      </c>
      <c r="C20" s="54">
        <f>COUNTIFS($C$5:$C$100,A20,$H$5:$H$100,"Done")</f>
        <v/>
      </c>
      <c r="D20" s="54">
        <f>COUNTIFS($C$5:$C$100,A20,$H$5:$H$100,"Pending")</f>
        <v/>
      </c>
      <c r="E20" s="62">
        <f>IFERROR(C20/B20,0)</f>
        <v/>
      </c>
      <c r="F20" s="53">
        <f>SUMIF($C$5:$C$100,A20,$J$5:$J$100)&amp;" hrs"</f>
        <v/>
      </c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45" t="inlineStr">
        <is>
          <t>MATH201</t>
        </is>
      </c>
      <c r="B21" s="48">
        <f>COUNTIF($C$5:$C$100,A21)</f>
        <v/>
      </c>
      <c r="C21" s="48">
        <f>COUNTIFS($C$5:$C$100,A21,$H$5:$H$100,"Done")</f>
        <v/>
      </c>
      <c r="D21" s="48">
        <f>COUNTIFS($C$5:$C$100,A21,$H$5:$H$100,"Pending")</f>
        <v/>
      </c>
      <c r="E21" s="61">
        <f>IFERROR(C21/B21,0)</f>
        <v/>
      </c>
      <c r="F21" s="47">
        <f>SUMIF($C$5:$C$100,A21,$J$5:$J$100)&amp;" hrs"</f>
        <v/>
      </c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</row>
  </sheetData>
  <mergeCells count="3">
    <mergeCell ref="A15:O15"/>
    <mergeCell ref="A1:O1"/>
    <mergeCell ref="A2:O2"/>
  </mergeCells>
  <conditionalFormatting sqref="H5:H100">
    <cfRule type="expression" priority="1" dxfId="0">
      <formula>H5="Done"</formula>
    </cfRule>
    <cfRule type="expression" priority="2" dxfId="3">
      <formula>H5="Pending"</formula>
    </cfRule>
  </conditionalFormatting>
  <dataValidations count="3">
    <dataValidation sqref="H5:H100" showDropDown="0" showInputMessage="0" showErrorMessage="0" allowBlank="0" type="list">
      <formula1>"Done,Pending,In Progress"</formula1>
    </dataValidation>
    <dataValidation sqref="L5:L100" showDropDown="0" showInputMessage="0" showErrorMessage="0" allowBlank="0" type="list">
      <formula1>"Easy,Medium,Hard"</formula1>
    </dataValidation>
    <dataValidation sqref="M5:M1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86C"/>
    <outlinePr summaryBelow="1" summaryRight="1"/>
    <pageSetUpPr/>
  </sheetPr>
  <dimension ref="A1:N2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30" customWidth="1" min="4" max="4"/>
    <col width="12" customWidth="1" min="5" max="5"/>
    <col width="8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4" customWidth="1" min="13" max="13"/>
    <col width="20" customWidth="1" min="14" max="14"/>
  </cols>
  <sheetData>
    <row r="1">
      <c r="A1" s="77" t="inlineStr">
        <is>
          <t>📝  DAILY TASK &amp; ROUTINE MANAGER</t>
        </is>
      </c>
    </row>
    <row r="2">
      <c r="A2" s="30" t="inlineStr">
        <is>
          <t xml:space="preserve">  Add, update and track all daily tasks with priority, deadline and status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</row>
    <row r="4" ht="26" customHeight="1">
      <c r="A4" s="32" t="inlineStr">
        <is>
          <t>#</t>
        </is>
      </c>
      <c r="B4" s="35" t="inlineStr">
        <is>
          <t>Task Name</t>
        </is>
      </c>
      <c r="C4" s="33" t="inlineStr">
        <is>
          <t>Category</t>
        </is>
      </c>
      <c r="D4" s="60" t="inlineStr">
        <is>
          <t>Description</t>
        </is>
      </c>
      <c r="E4" s="38" t="inlineStr">
        <is>
          <t>Date</t>
        </is>
      </c>
      <c r="F4" s="37" t="inlineStr">
        <is>
          <t>Day</t>
        </is>
      </c>
      <c r="G4" s="41" t="inlineStr">
        <is>
          <t>Status</t>
        </is>
      </c>
      <c r="H4" s="42" t="inlineStr">
        <is>
          <t>Priority</t>
        </is>
      </c>
      <c r="I4" s="40" t="inlineStr">
        <is>
          <t>Start Time</t>
        </is>
      </c>
      <c r="J4" s="40" t="inlineStr">
        <is>
          <t>End Time</t>
        </is>
      </c>
      <c r="K4" s="36" t="inlineStr">
        <is>
          <t>Deadline</t>
        </is>
      </c>
      <c r="L4" s="39" t="inlineStr">
        <is>
          <t>Days Left</t>
        </is>
      </c>
      <c r="M4" s="34" t="inlineStr">
        <is>
          <t>Completed On</t>
        </is>
      </c>
      <c r="N4" s="32" t="inlineStr">
        <is>
          <t>Notes</t>
        </is>
      </c>
    </row>
    <row r="5" ht="22" customHeight="1">
      <c r="A5" s="48" t="n">
        <v>1</v>
      </c>
      <c r="B5" s="46" t="inlineStr">
        <is>
          <t>Complete Assignment 3</t>
        </is>
      </c>
      <c r="C5" s="44" t="inlineStr">
        <is>
          <t>Study</t>
        </is>
      </c>
      <c r="D5" s="48" t="inlineStr">
        <is>
          <t>Submit DSA assignment</t>
        </is>
      </c>
      <c r="E5" s="78" t="inlineStr">
        <is>
          <t>2026-05-22</t>
        </is>
      </c>
      <c r="F5" s="48" t="inlineStr">
        <is>
          <t>Fri</t>
        </is>
      </c>
      <c r="G5" s="48" t="inlineStr">
        <is>
          <t>Pending</t>
        </is>
      </c>
      <c r="H5" s="48" t="inlineStr">
        <is>
          <t>High</t>
        </is>
      </c>
      <c r="I5" s="48" t="inlineStr">
        <is>
          <t>09:00 AM</t>
        </is>
      </c>
      <c r="J5" s="48" t="inlineStr">
        <is>
          <t>11:00 AM</t>
        </is>
      </c>
      <c r="K5" s="48" t="inlineStr">
        <is>
          <t>2026-05-22</t>
        </is>
      </c>
      <c r="L5" s="48">
        <f>IFERROR(DATEVALUE(K5)-TODAY(),"—")</f>
        <v/>
      </c>
      <c r="M5" s="48" t="inlineStr"/>
      <c r="N5" s="48" t="inlineStr"/>
    </row>
    <row r="6" ht="22" customHeight="1">
      <c r="A6" s="54" t="n">
        <v>2</v>
      </c>
      <c r="B6" s="52" t="inlineStr">
        <is>
          <t>Buy Stationery</t>
        </is>
      </c>
      <c r="C6" s="50" t="inlineStr">
        <is>
          <t>Shopping</t>
        </is>
      </c>
      <c r="D6" s="54" t="inlineStr">
        <is>
          <t>Buy pens, notebook</t>
        </is>
      </c>
      <c r="E6" s="79" t="inlineStr">
        <is>
          <t>2026-05-20</t>
        </is>
      </c>
      <c r="F6" s="54" t="inlineStr">
        <is>
          <t>Wed</t>
        </is>
      </c>
      <c r="G6" s="54" t="inlineStr">
        <is>
          <t>Completed</t>
        </is>
      </c>
      <c r="H6" s="54" t="inlineStr">
        <is>
          <t>Low</t>
        </is>
      </c>
      <c r="I6" s="54" t="inlineStr">
        <is>
          <t>04:00 PM</t>
        </is>
      </c>
      <c r="J6" s="54" t="inlineStr">
        <is>
          <t>05:00 PM</t>
        </is>
      </c>
      <c r="K6" s="54" t="inlineStr">
        <is>
          <t>2026-05-20</t>
        </is>
      </c>
      <c r="L6" s="54">
        <f>IFERROR(DATEVALUE(K6)-TODAY(),"—")</f>
        <v/>
      </c>
      <c r="M6" s="54" t="inlineStr">
        <is>
          <t>2026-05-20</t>
        </is>
      </c>
      <c r="N6" s="54" t="inlineStr"/>
    </row>
    <row r="7" ht="22" customHeight="1">
      <c r="A7" s="48" t="n">
        <v>3</v>
      </c>
      <c r="B7" s="46" t="inlineStr">
        <is>
          <t>Study Calculus</t>
        </is>
      </c>
      <c r="C7" s="44" t="inlineStr">
        <is>
          <t>Study</t>
        </is>
      </c>
      <c r="D7" s="48" t="inlineStr">
        <is>
          <t>Chapter 5 exercises</t>
        </is>
      </c>
      <c r="E7" s="78" t="inlineStr">
        <is>
          <t>2026-05-20</t>
        </is>
      </c>
      <c r="F7" s="48" t="inlineStr">
        <is>
          <t>Wed</t>
        </is>
      </c>
      <c r="G7" s="48" t="inlineStr">
        <is>
          <t>Pending</t>
        </is>
      </c>
      <c r="H7" s="48" t="inlineStr">
        <is>
          <t>High</t>
        </is>
      </c>
      <c r="I7" s="48" t="inlineStr">
        <is>
          <t>08:00 PM</t>
        </is>
      </c>
      <c r="J7" s="48" t="inlineStr">
        <is>
          <t>10:00 PM</t>
        </is>
      </c>
      <c r="K7" s="48" t="inlineStr">
        <is>
          <t>2026-05-21</t>
        </is>
      </c>
      <c r="L7" s="48">
        <f>IFERROR(DATEVALUE(K7)-TODAY(),"—")</f>
        <v/>
      </c>
      <c r="M7" s="48" t="inlineStr"/>
      <c r="N7" s="48" t="inlineStr"/>
    </row>
    <row r="8" ht="22" customHeight="1">
      <c r="A8" s="54" t="n">
        <v>4</v>
      </c>
      <c r="B8" s="52" t="inlineStr">
        <is>
          <t>Exercise</t>
        </is>
      </c>
      <c r="C8" s="50" t="inlineStr">
        <is>
          <t>Personal</t>
        </is>
      </c>
      <c r="D8" s="54" t="inlineStr">
        <is>
          <t>Morning workout</t>
        </is>
      </c>
      <c r="E8" s="79" t="inlineStr">
        <is>
          <t>2026-05-21</t>
        </is>
      </c>
      <c r="F8" s="54" t="inlineStr">
        <is>
          <t>Thu</t>
        </is>
      </c>
      <c r="G8" s="54" t="inlineStr">
        <is>
          <t>Incomplete</t>
        </is>
      </c>
      <c r="H8" s="54" t="inlineStr">
        <is>
          <t>Medium</t>
        </is>
      </c>
      <c r="I8" s="54" t="inlineStr">
        <is>
          <t>06:00 AM</t>
        </is>
      </c>
      <c r="J8" s="54" t="inlineStr">
        <is>
          <t>07:00 AM</t>
        </is>
      </c>
      <c r="K8" s="54" t="inlineStr">
        <is>
          <t>2026-05-21</t>
        </is>
      </c>
      <c r="L8" s="54">
        <f>IFERROR(DATEVALUE(K8)-TODAY(),"—")</f>
        <v/>
      </c>
      <c r="M8" s="54" t="inlineStr"/>
      <c r="N8" s="54" t="inlineStr"/>
    </row>
    <row r="9" ht="22" customHeight="1">
      <c r="A9" s="48" t="n">
        <v>5</v>
      </c>
      <c r="B9" s="46" t="inlineStr">
        <is>
          <t>Lab Report</t>
        </is>
      </c>
      <c r="C9" s="44" t="inlineStr">
        <is>
          <t>University</t>
        </is>
      </c>
      <c r="D9" s="48" t="inlineStr">
        <is>
          <t>Physics lab report</t>
        </is>
      </c>
      <c r="E9" s="78" t="inlineStr">
        <is>
          <t>2026-05-23</t>
        </is>
      </c>
      <c r="F9" s="48" t="inlineStr">
        <is>
          <t>Sat</t>
        </is>
      </c>
      <c r="G9" s="48" t="inlineStr">
        <is>
          <t>Pending</t>
        </is>
      </c>
      <c r="H9" s="48" t="inlineStr">
        <is>
          <t>High</t>
        </is>
      </c>
      <c r="I9" s="48" t="inlineStr">
        <is>
          <t>02:00 PM</t>
        </is>
      </c>
      <c r="J9" s="48" t="inlineStr">
        <is>
          <t>04:00 PM</t>
        </is>
      </c>
      <c r="K9" s="48" t="inlineStr">
        <is>
          <t>2026-05-24</t>
        </is>
      </c>
      <c r="L9" s="48">
        <f>IFERROR(DATEVALUE(K9)-TODAY(),"—")</f>
        <v/>
      </c>
      <c r="M9" s="48" t="inlineStr"/>
      <c r="N9" s="48" t="inlineStr"/>
    </row>
    <row r="10" ht="22" customHeight="1">
      <c r="A10" s="54" t="n">
        <v>6</v>
      </c>
      <c r="B10" s="52" t="inlineStr">
        <is>
          <t>Read Novel</t>
        </is>
      </c>
      <c r="C10" s="50" t="inlineStr">
        <is>
          <t>Personal</t>
        </is>
      </c>
      <c r="D10" s="54" t="inlineStr">
        <is>
          <t>Read 30 pages</t>
        </is>
      </c>
      <c r="E10" s="79" t="inlineStr">
        <is>
          <t>2026-05-20</t>
        </is>
      </c>
      <c r="F10" s="54" t="inlineStr">
        <is>
          <t>Wed</t>
        </is>
      </c>
      <c r="G10" s="54" t="inlineStr">
        <is>
          <t>Completed</t>
        </is>
      </c>
      <c r="H10" s="54" t="inlineStr">
        <is>
          <t>Low</t>
        </is>
      </c>
      <c r="I10" s="54" t="inlineStr">
        <is>
          <t>09:00 PM</t>
        </is>
      </c>
      <c r="J10" s="54" t="inlineStr">
        <is>
          <t>10:00 PM</t>
        </is>
      </c>
      <c r="K10" s="54" t="inlineStr">
        <is>
          <t>2026-05-20</t>
        </is>
      </c>
      <c r="L10" s="54">
        <f>IFERROR(DATEVALUE(K10)-TODAY(),"—")</f>
        <v/>
      </c>
      <c r="M10" s="54" t="inlineStr">
        <is>
          <t>2026-05-20</t>
        </is>
      </c>
      <c r="N10" s="54" t="inlineStr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</row>
    <row r="210">
      <c r="A210" s="80" t="inlineStr">
        <is>
          <t>📊 TASK SUMMARY</t>
        </is>
      </c>
    </row>
    <row r="211">
      <c r="A211" s="7" t="inlineStr">
        <is>
          <t>Pending</t>
        </is>
      </c>
      <c r="B211" s="11" t="n"/>
      <c r="C211" s="6" t="inlineStr">
        <is>
          <t>Completed</t>
        </is>
      </c>
      <c r="D211" s="11" t="n"/>
      <c r="E211" s="10" t="inlineStr">
        <is>
          <t>Incomplete</t>
        </is>
      </c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</row>
    <row r="212">
      <c r="A212" s="81">
        <f>COUNTIF(G5:G200,"Pending")</f>
        <v/>
      </c>
      <c r="B212" s="11" t="n"/>
      <c r="C212" s="81">
        <f>COUNTIF(G5:G200,"Completed")</f>
        <v/>
      </c>
      <c r="D212" s="11" t="n"/>
      <c r="E212" s="81">
        <f>COUNTIF(G5:G200,"Incomplete")</f>
        <v/>
      </c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</row>
  </sheetData>
  <mergeCells count="3">
    <mergeCell ref="A210:N210"/>
    <mergeCell ref="A2:N2"/>
    <mergeCell ref="A1:N1"/>
  </mergeCells>
  <conditionalFormatting sqref="G5:G200">
    <cfRule type="expression" priority="1" dxfId="0">
      <formula>G5="Completed"</formula>
    </cfRule>
    <cfRule type="expression" priority="2" dxfId="4">
      <formula>G5="Pending"</formula>
    </cfRule>
    <cfRule type="expression" priority="3" dxfId="2">
      <formula>G5="Incomplete"</formula>
    </cfRule>
  </conditionalFormatting>
  <conditionalFormatting sqref="H5:H200">
    <cfRule type="expression" priority="4" dxfId="5">
      <formula>H5="High"</formula>
    </cfRule>
    <cfRule type="expression" priority="5" dxfId="6">
      <formula>H5="Low"</formula>
    </cfRule>
  </conditionalFormatting>
  <dataValidations count="3">
    <dataValidation sqref="G5:G200" showDropDown="0" showInputMessage="0" showErrorMessage="0" allowBlank="0" type="list">
      <formula1>"Pending,Completed,Incomplete,In Progress"</formula1>
    </dataValidation>
    <dataValidation sqref="C5:C200" showDropDown="0" showInputMessage="0" showErrorMessage="0" allowBlank="0" type="list">
      <formula1>"Study,Shopping,Personal,University,Assignment,Exam,Work,Other"</formula1>
    </dataValidation>
    <dataValidation sqref="H5:H2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4444"/>
    <outlinePr summaryBelow="1" summaryRight="1"/>
    <pageSetUpPr/>
  </sheetPr>
  <dimension ref="A1:L2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4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  <col width="16" customWidth="1" min="10" max="10"/>
    <col width="20" customWidth="1" min="11" max="11"/>
    <col width="12" customWidth="1" min="12" max="12"/>
  </cols>
  <sheetData>
    <row r="1">
      <c r="A1" s="82" t="inlineStr">
        <is>
          <t>💸  DAILY BUY &amp; EXPENSE TRACKER</t>
        </is>
      </c>
    </row>
    <row r="2">
      <c r="A2" s="30" t="inlineStr">
        <is>
          <t xml:space="preserve">  Track all purchases, expenses and payment status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 ht="26" customHeight="1">
      <c r="A4" s="32" t="inlineStr">
        <is>
          <t>#</t>
        </is>
      </c>
      <c r="B4" s="33" t="inlineStr">
        <is>
          <t>Date</t>
        </is>
      </c>
      <c r="C4" s="37" t="inlineStr">
        <is>
          <t>Day</t>
        </is>
      </c>
      <c r="D4" s="35" t="inlineStr">
        <is>
          <t>Item Name</t>
        </is>
      </c>
      <c r="E4" s="42" t="inlineStr">
        <is>
          <t>Amount (৳)</t>
        </is>
      </c>
      <c r="F4" s="36" t="inlineStr">
        <is>
          <t>Category</t>
        </is>
      </c>
      <c r="G4" s="60" t="inlineStr">
        <is>
          <t>Quantity</t>
        </is>
      </c>
      <c r="H4" s="41" t="inlineStr">
        <is>
          <t>Total (৳)</t>
        </is>
      </c>
      <c r="I4" s="34" t="inlineStr">
        <is>
          <t>Payment Status</t>
        </is>
      </c>
      <c r="J4" s="38" t="inlineStr">
        <is>
          <t>Payment Method</t>
        </is>
      </c>
      <c r="K4" s="32" t="inlineStr">
        <is>
          <t>Notes</t>
        </is>
      </c>
      <c r="L4" s="40" t="inlineStr">
        <is>
          <t>Month</t>
        </is>
      </c>
    </row>
    <row r="5" ht="20" customHeight="1">
      <c r="A5" s="48" t="n">
        <v>1</v>
      </c>
      <c r="B5" s="44" t="inlineStr">
        <is>
          <t>2026-05-18</t>
        </is>
      </c>
      <c r="C5" s="48" t="inlineStr">
        <is>
          <t>Mon</t>
        </is>
      </c>
      <c r="D5" s="46" t="inlineStr">
        <is>
          <t>Rice 5kg</t>
        </is>
      </c>
      <c r="E5" s="83" t="n">
        <v>280</v>
      </c>
      <c r="F5" s="48" t="inlineStr">
        <is>
          <t>Food</t>
        </is>
      </c>
      <c r="G5" s="48" t="n">
        <v>1</v>
      </c>
      <c r="H5" s="84">
        <f>E5*G5</f>
        <v/>
      </c>
      <c r="I5" s="48" t="inlineStr">
        <is>
          <t>Received</t>
        </is>
      </c>
      <c r="J5" s="48" t="inlineStr">
        <is>
          <t>Cash</t>
        </is>
      </c>
      <c r="K5" s="48" t="inlineStr"/>
      <c r="L5" s="48">
        <f>TEXT(B5,"mmmm")</f>
        <v/>
      </c>
    </row>
    <row r="6" ht="20" customHeight="1">
      <c r="A6" s="54" t="n">
        <v>2</v>
      </c>
      <c r="B6" s="50" t="inlineStr">
        <is>
          <t>2026-05-18</t>
        </is>
      </c>
      <c r="C6" s="54" t="inlineStr">
        <is>
          <t>Mon</t>
        </is>
      </c>
      <c r="D6" s="52" t="inlineStr">
        <is>
          <t>Vegetables</t>
        </is>
      </c>
      <c r="E6" s="85" t="n">
        <v>120</v>
      </c>
      <c r="F6" s="54" t="inlineStr">
        <is>
          <t>Food</t>
        </is>
      </c>
      <c r="G6" s="54" t="n">
        <v>1</v>
      </c>
      <c r="H6" s="86">
        <f>E6*G6</f>
        <v/>
      </c>
      <c r="I6" s="54" t="inlineStr">
        <is>
          <t>Received</t>
        </is>
      </c>
      <c r="J6" s="54" t="inlineStr">
        <is>
          <t>Cash</t>
        </is>
      </c>
      <c r="K6" s="54" t="inlineStr"/>
      <c r="L6" s="54">
        <f>TEXT(B6,"mmmm")</f>
        <v/>
      </c>
    </row>
    <row r="7" ht="20" customHeight="1">
      <c r="A7" s="48" t="n">
        <v>3</v>
      </c>
      <c r="B7" s="44" t="inlineStr">
        <is>
          <t>2026-05-19</t>
        </is>
      </c>
      <c r="C7" s="48" t="inlineStr">
        <is>
          <t>Tue</t>
        </is>
      </c>
      <c r="D7" s="46" t="inlineStr">
        <is>
          <t>Bus Fare</t>
        </is>
      </c>
      <c r="E7" s="83" t="n">
        <v>40</v>
      </c>
      <c r="F7" s="48" t="inlineStr">
        <is>
          <t>Transport</t>
        </is>
      </c>
      <c r="G7" s="48" t="n">
        <v>2</v>
      </c>
      <c r="H7" s="84">
        <f>E7*G7</f>
        <v/>
      </c>
      <c r="I7" s="48" t="inlineStr">
        <is>
          <t>Received</t>
        </is>
      </c>
      <c r="J7" s="48" t="inlineStr">
        <is>
          <t>Cash</t>
        </is>
      </c>
      <c r="K7" s="48" t="inlineStr"/>
      <c r="L7" s="48">
        <f>TEXT(B7,"mmmm")</f>
        <v/>
      </c>
    </row>
    <row r="8" ht="20" customHeight="1">
      <c r="A8" s="54" t="n">
        <v>4</v>
      </c>
      <c r="B8" s="50" t="inlineStr">
        <is>
          <t>2026-05-19</t>
        </is>
      </c>
      <c r="C8" s="54" t="inlineStr">
        <is>
          <t>Tue</t>
        </is>
      </c>
      <c r="D8" s="52" t="inlineStr">
        <is>
          <t>Notebook</t>
        </is>
      </c>
      <c r="E8" s="85" t="n">
        <v>60</v>
      </c>
      <c r="F8" s="54" t="inlineStr">
        <is>
          <t>Stationery</t>
        </is>
      </c>
      <c r="G8" s="54" t="n">
        <v>2</v>
      </c>
      <c r="H8" s="86">
        <f>E8*G8</f>
        <v/>
      </c>
      <c r="I8" s="54" t="inlineStr">
        <is>
          <t>Pending</t>
        </is>
      </c>
      <c r="J8" s="54" t="inlineStr">
        <is>
          <t>Cash</t>
        </is>
      </c>
      <c r="K8" s="54" t="inlineStr"/>
      <c r="L8" s="54">
        <f>TEXT(B8,"mmmm")</f>
        <v/>
      </c>
    </row>
    <row r="9" ht="20" customHeight="1">
      <c r="A9" s="48" t="n">
        <v>5</v>
      </c>
      <c r="B9" s="44" t="inlineStr">
        <is>
          <t>2026-05-20</t>
        </is>
      </c>
      <c r="C9" s="48" t="inlineStr">
        <is>
          <t>Wed</t>
        </is>
      </c>
      <c r="D9" s="46" t="inlineStr">
        <is>
          <t>Lunch</t>
        </is>
      </c>
      <c r="E9" s="83" t="n">
        <v>80</v>
      </c>
      <c r="F9" s="48" t="inlineStr">
        <is>
          <t>Food</t>
        </is>
      </c>
      <c r="G9" s="48" t="n">
        <v>1</v>
      </c>
      <c r="H9" s="84">
        <f>E9*G9</f>
        <v/>
      </c>
      <c r="I9" s="48" t="inlineStr">
        <is>
          <t>Received</t>
        </is>
      </c>
      <c r="J9" s="48" t="inlineStr">
        <is>
          <t>bKash</t>
        </is>
      </c>
      <c r="K9" s="48" t="inlineStr"/>
      <c r="L9" s="48">
        <f>TEXT(B9,"mmmm")</f>
        <v/>
      </c>
    </row>
    <row r="10" ht="20" customHeight="1">
      <c r="A10" s="54" t="n">
        <v>6</v>
      </c>
      <c r="B10" s="50" t="inlineStr">
        <is>
          <t>2026-05-20</t>
        </is>
      </c>
      <c r="C10" s="54" t="inlineStr">
        <is>
          <t>Wed</t>
        </is>
      </c>
      <c r="D10" s="52" t="inlineStr">
        <is>
          <t>Mobile Recharge</t>
        </is>
      </c>
      <c r="E10" s="85" t="n">
        <v>100</v>
      </c>
      <c r="F10" s="54" t="inlineStr">
        <is>
          <t>Personal</t>
        </is>
      </c>
      <c r="G10" s="54" t="n">
        <v>1</v>
      </c>
      <c r="H10" s="86">
        <f>E10*G10</f>
        <v/>
      </c>
      <c r="I10" s="54" t="inlineStr">
        <is>
          <t>Pending</t>
        </is>
      </c>
      <c r="J10" s="54" t="inlineStr">
        <is>
          <t>Nagad</t>
        </is>
      </c>
      <c r="K10" s="54" t="inlineStr"/>
      <c r="L10" s="54">
        <f>TEXT(B10,"mmmm")</f>
        <v/>
      </c>
    </row>
    <row r="11" ht="20" customHeight="1">
      <c r="A11" s="48" t="n">
        <v>7</v>
      </c>
      <c r="B11" s="44" t="inlineStr">
        <is>
          <t>2026-05-20</t>
        </is>
      </c>
      <c r="C11" s="48" t="inlineStr">
        <is>
          <t>Wed</t>
        </is>
      </c>
      <c r="D11" s="46" t="inlineStr">
        <is>
          <t>Pen Set</t>
        </is>
      </c>
      <c r="E11" s="83" t="n">
        <v>45</v>
      </c>
      <c r="F11" s="48" t="inlineStr">
        <is>
          <t>Stationery</t>
        </is>
      </c>
      <c r="G11" s="48" t="n">
        <v>1</v>
      </c>
      <c r="H11" s="84">
        <f>E11*G11</f>
        <v/>
      </c>
      <c r="I11" s="48" t="inlineStr">
        <is>
          <t>Received</t>
        </is>
      </c>
      <c r="J11" s="48" t="inlineStr">
        <is>
          <t>Cash</t>
        </is>
      </c>
      <c r="K11" s="48" t="inlineStr"/>
      <c r="L11" s="48">
        <f>TEXT(B11,"mmmm")</f>
        <v/>
      </c>
    </row>
    <row r="12" ht="20" customHeight="1">
      <c r="A12" s="54" t="n">
        <v>8</v>
      </c>
      <c r="B12" s="50" t="inlineStr">
        <is>
          <t>2026-05-20</t>
        </is>
      </c>
      <c r="C12" s="54" t="inlineStr">
        <is>
          <t>Wed</t>
        </is>
      </c>
      <c r="D12" s="52" t="inlineStr">
        <is>
          <t>Medicine</t>
        </is>
      </c>
      <c r="E12" s="85" t="n">
        <v>150</v>
      </c>
      <c r="F12" s="54" t="inlineStr">
        <is>
          <t>Health</t>
        </is>
      </c>
      <c r="G12" s="54" t="n">
        <v>1</v>
      </c>
      <c r="H12" s="86">
        <f>E12*G12</f>
        <v/>
      </c>
      <c r="I12" s="54" t="inlineStr">
        <is>
          <t>Pending</t>
        </is>
      </c>
      <c r="J12" s="54" t="inlineStr">
        <is>
          <t>Cash</t>
        </is>
      </c>
      <c r="K12" s="54" t="inlineStr"/>
      <c r="L12" s="54">
        <f>TEXT(B12,"mmmm")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>
      <c r="A14" s="87" t="inlineStr">
        <is>
          <t>TOTAL EXPENSE</t>
        </is>
      </c>
      <c r="H14" s="88">
        <f>SUM(H5:H12)</f>
        <v/>
      </c>
      <c r="I14" s="11" t="n"/>
      <c r="J14" s="11" t="n"/>
      <c r="K14" s="11" t="n"/>
      <c r="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>
      <c r="A16" s="80" t="inlineStr">
        <is>
          <t>📊 CATEGORY-WISE EXPENSE SUMMARY</t>
        </is>
      </c>
    </row>
    <row r="17">
      <c r="A17" s="89" t="inlineStr">
        <is>
          <t>Food</t>
        </is>
      </c>
      <c r="B17" s="90">
        <f>SUMIF($F$5:$F$200,A17,$H$5:$H$200)</f>
        <v/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91" t="inlineStr">
        <is>
          <t>Transport</t>
        </is>
      </c>
      <c r="B18" s="92">
        <f>SUMIF($F$5:$F$200,A18,$H$5:$H$200)</f>
        <v/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>
      <c r="A19" s="89" t="inlineStr">
        <is>
          <t>Stationery</t>
        </is>
      </c>
      <c r="B19" s="90">
        <f>SUMIF($F$5:$F$200,A19,$H$5:$H$200)</f>
        <v/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91" t="inlineStr">
        <is>
          <t>Personal</t>
        </is>
      </c>
      <c r="B20" s="92">
        <f>SUMIF($F$5:$F$200,A20,$H$5:$H$200)</f>
        <v/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>
      <c r="A21" s="89" t="inlineStr">
        <is>
          <t>University</t>
        </is>
      </c>
      <c r="B21" s="90">
        <f>SUMIF($F$5:$F$200,A21,$H$5:$H$200)</f>
        <v/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>
      <c r="A22" s="91" t="inlineStr">
        <is>
          <t>Health</t>
        </is>
      </c>
      <c r="B22" s="92">
        <f>SUMIF($F$5:$F$200,A22,$H$5:$H$200)</f>
        <v/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>
      <c r="A23" s="89" t="inlineStr">
        <is>
          <t>Shopping</t>
        </is>
      </c>
      <c r="B23" s="90">
        <f>SUMIF($F$5:$F$200,A23,$H$5:$H$200)</f>
        <v/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>
      <c r="A24" s="91" t="inlineStr">
        <is>
          <t>Entertainment</t>
        </is>
      </c>
      <c r="B24" s="92">
        <f>SUMIF($F$5:$F$200,A24,$H$5:$H$200)</f>
        <v/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89" t="inlineStr">
        <is>
          <t>Other</t>
        </is>
      </c>
      <c r="B25" s="90">
        <f>SUMIF($F$5:$F$200,A25,$H$5:$H$200)</f>
        <v/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</row>
  </sheetData>
  <mergeCells count="4">
    <mergeCell ref="A16:L16"/>
    <mergeCell ref="A2:L2"/>
    <mergeCell ref="A14:G14"/>
    <mergeCell ref="A1:L1"/>
  </mergeCells>
  <conditionalFormatting sqref="I5:I200">
    <cfRule type="expression" priority="1" dxfId="0">
      <formula>I5="Received"</formula>
    </cfRule>
    <cfRule type="expression" priority="2" dxfId="4">
      <formula>I5="Pending"</formula>
    </cfRule>
  </conditionalFormatting>
  <dataValidations count="3">
    <dataValidation sqref="I5:I200" showDropDown="0" showInputMessage="0" showErrorMessage="0" allowBlank="0" type="list">
      <formula1>"Pending,Received"</formula1>
    </dataValidation>
    <dataValidation sqref="J5:J200" showDropDown="0" showInputMessage="0" showErrorMessage="0" allowBlank="0" type="list">
      <formula1>"Cash,bKash,Nagad,Rocket,Bank Transfer,Card"</formula1>
    </dataValidation>
    <dataValidation sqref="F5:F200" showDropDown="0" showInputMessage="0" showErrorMessage="0" allowBlank="0" type="list">
      <formula1>"Food,Transport,Stationery,Personal,University,Health,Shopping,Entertainment,Other"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FF88"/>
    <outlinePr summaryBelow="1" summaryRight="1"/>
    <pageSetUpPr/>
  </sheetPr>
  <dimension ref="A1:P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0" customWidth="1" min="4" max="4"/>
    <col width="26" customWidth="1" min="5" max="5"/>
    <col width="14" customWidth="1" min="6" max="6"/>
    <col width="16" customWidth="1" min="7" max="7"/>
    <col width="10" customWidth="1" min="8" max="8"/>
    <col width="14" customWidth="1" min="9" max="9"/>
    <col width="14" customWidth="1" min="10" max="10"/>
    <col width="12" customWidth="1" min="11" max="11"/>
    <col width="20" customWidth="1" min="12" max="12"/>
  </cols>
  <sheetData>
    <row r="1">
      <c r="A1" s="29" t="inlineStr">
        <is>
          <t>💰  FUND &amp; MONEY MANAGER</t>
        </is>
      </c>
    </row>
    <row r="2">
      <c r="A2" s="30" t="inlineStr">
        <is>
          <t xml:space="preserve">  Manage all your accounts: Bank, bKash, Nagad, Rocket, Cash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 ht="26" customHeight="1">
      <c r="A4" s="34" t="inlineStr">
        <is>
          <t>Account Name</t>
        </is>
      </c>
      <c r="B4" s="33" t="inlineStr">
        <is>
          <t>Account Type</t>
        </is>
      </c>
      <c r="C4" s="38" t="inlineStr">
        <is>
          <t>Account No</t>
        </is>
      </c>
      <c r="D4" s="41" t="inlineStr">
        <is>
          <t>Opening Balance (৳)</t>
        </is>
      </c>
      <c r="E4" s="34" t="inlineStr">
        <is>
          <t>Total Deposit (৳)</t>
        </is>
      </c>
      <c r="F4" s="42" t="inlineStr">
        <is>
          <t>Total Withdraw (৳)</t>
        </is>
      </c>
      <c r="G4" s="35" t="inlineStr">
        <is>
          <t>Current Balance (৳)</t>
        </is>
      </c>
      <c r="H4" s="40" t="inlineStr">
        <is>
          <t>Status</t>
        </is>
      </c>
      <c r="I4" s="11" t="n"/>
      <c r="J4" s="11" t="n"/>
      <c r="K4" s="11" t="n"/>
      <c r="L4" s="11" t="n"/>
      <c r="M4" s="11" t="n"/>
      <c r="N4" s="11" t="n"/>
      <c r="O4" s="11" t="n"/>
      <c r="P4" s="11" t="n"/>
    </row>
    <row r="5" ht="24" customHeight="1">
      <c r="A5" s="93" t="inlineStr">
        <is>
          <t>My bKash</t>
        </is>
      </c>
      <c r="B5" s="94" t="inlineStr">
        <is>
          <t>bKash</t>
        </is>
      </c>
      <c r="C5" s="43" t="inlineStr">
        <is>
          <t>01XXXXXXXXX</t>
        </is>
      </c>
      <c r="D5" s="90" t="n">
        <v>500</v>
      </c>
      <c r="E5" s="95">
        <f>SUMIFS($I$15:$I$200,$G$15:$G$200,A5,$H$15:$H$200,"Deposit")+D5</f>
        <v/>
      </c>
      <c r="F5" s="96">
        <f>SUMIFS($I$15:$I$200,$G$15:$G$200,A5,$H$15:$H$200,"Withdraw")</f>
        <v/>
      </c>
      <c r="G5" s="97">
        <f>E5-F5</f>
        <v/>
      </c>
      <c r="H5" s="98" t="inlineStr">
        <is>
          <t>Active</t>
        </is>
      </c>
      <c r="I5" s="11" t="n"/>
      <c r="J5" s="11" t="n"/>
      <c r="K5" s="11" t="n"/>
      <c r="L5" s="11" t="n"/>
      <c r="M5" s="11" t="n"/>
      <c r="N5" s="11" t="n"/>
      <c r="O5" s="11" t="n"/>
      <c r="P5" s="11" t="n"/>
    </row>
    <row r="6" ht="24" customHeight="1">
      <c r="A6" s="99" t="inlineStr">
        <is>
          <t>My Bank</t>
        </is>
      </c>
      <c r="B6" s="100" t="inlineStr">
        <is>
          <t>Bank</t>
        </is>
      </c>
      <c r="C6" s="49" t="inlineStr">
        <is>
          <t>ACC-XXXXXXX</t>
        </is>
      </c>
      <c r="D6" s="92" t="n">
        <v>5000</v>
      </c>
      <c r="E6" s="101">
        <f>SUMIFS($I$15:$I$200,$G$15:$G$200,A6,$H$15:$H$200,"Deposit")+D6</f>
        <v/>
      </c>
      <c r="F6" s="102">
        <f>SUMIFS($I$15:$I$200,$G$15:$G$200,A6,$H$15:$H$200,"Withdraw")</f>
        <v/>
      </c>
      <c r="G6" s="103">
        <f>E6-F6</f>
        <v/>
      </c>
      <c r="H6" s="104" t="inlineStr">
        <is>
          <t>Active</t>
        </is>
      </c>
      <c r="I6" s="11" t="n"/>
      <c r="J6" s="11" t="n"/>
      <c r="K6" s="11" t="n"/>
      <c r="L6" s="11" t="n"/>
      <c r="M6" s="11" t="n"/>
      <c r="N6" s="11" t="n"/>
      <c r="O6" s="11" t="n"/>
      <c r="P6" s="11" t="n"/>
    </row>
    <row r="7" ht="24" customHeight="1">
      <c r="A7" s="93" t="inlineStr">
        <is>
          <t>Nagad</t>
        </is>
      </c>
      <c r="B7" s="94" t="inlineStr">
        <is>
          <t>Nagad</t>
        </is>
      </c>
      <c r="C7" s="43" t="inlineStr">
        <is>
          <t>01XXXXXXXXX</t>
        </is>
      </c>
      <c r="D7" s="90" t="n">
        <v>200</v>
      </c>
      <c r="E7" s="95">
        <f>SUMIFS($I$15:$I$200,$G$15:$G$200,A7,$H$15:$H$200,"Deposit")+D7</f>
        <v/>
      </c>
      <c r="F7" s="96">
        <f>SUMIFS($I$15:$I$200,$G$15:$G$200,A7,$H$15:$H$200,"Withdraw")</f>
        <v/>
      </c>
      <c r="G7" s="97">
        <f>E7-F7</f>
        <v/>
      </c>
      <c r="H7" s="98" t="inlineStr">
        <is>
          <t>Active</t>
        </is>
      </c>
      <c r="I7" s="11" t="n"/>
      <c r="J7" s="11" t="n"/>
      <c r="K7" s="11" t="n"/>
      <c r="L7" s="11" t="n"/>
      <c r="M7" s="11" t="n"/>
      <c r="N7" s="11" t="n"/>
      <c r="O7" s="11" t="n"/>
      <c r="P7" s="11" t="n"/>
    </row>
    <row r="8" ht="24" customHeight="1">
      <c r="A8" s="99" t="inlineStr">
        <is>
          <t>Hand Cash</t>
        </is>
      </c>
      <c r="B8" s="100" t="inlineStr">
        <is>
          <t>Cash</t>
        </is>
      </c>
      <c r="C8" s="49" t="inlineStr">
        <is>
          <t>—</t>
        </is>
      </c>
      <c r="D8" s="92" t="n">
        <v>1000</v>
      </c>
      <c r="E8" s="101">
        <f>SUMIFS($I$15:$I$200,$G$15:$G$200,A8,$H$15:$H$200,"Deposit")+D8</f>
        <v/>
      </c>
      <c r="F8" s="102">
        <f>SUMIFS($I$15:$I$200,$G$15:$G$200,A8,$H$15:$H$200,"Withdraw")</f>
        <v/>
      </c>
      <c r="G8" s="103">
        <f>E8-F8</f>
        <v/>
      </c>
      <c r="H8" s="104" t="inlineStr">
        <is>
          <t>Active</t>
        </is>
      </c>
      <c r="I8" s="11" t="n"/>
      <c r="J8" s="11" t="n"/>
      <c r="K8" s="11" t="n"/>
      <c r="L8" s="11" t="n"/>
      <c r="M8" s="11" t="n"/>
      <c r="N8" s="11" t="n"/>
      <c r="O8" s="11" t="n"/>
      <c r="P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</row>
    <row r="10">
      <c r="A10" s="105" t="inlineStr">
        <is>
          <t>💰 TOTAL BALANCE (ALL ACCOUNTS)</t>
        </is>
      </c>
      <c r="G10" s="106">
        <f>SUM(G5:G8)</f>
        <v/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>
      <c r="A13" s="107" t="inlineStr">
        <is>
          <t>📋 TRANSACTION HISTORY</t>
        </is>
      </c>
    </row>
    <row r="14">
      <c r="A14" s="108" t="inlineStr">
        <is>
          <t>#</t>
        </is>
      </c>
      <c r="B14" s="70" t="inlineStr">
        <is>
          <t>Date</t>
        </is>
      </c>
      <c r="C14" s="109" t="inlineStr">
        <is>
          <t>Day</t>
        </is>
      </c>
      <c r="D14" s="110" t="inlineStr">
        <is>
          <t>Time</t>
        </is>
      </c>
      <c r="E14" s="65" t="inlineStr">
        <is>
          <t>Description</t>
        </is>
      </c>
      <c r="F14" s="68" t="inlineStr">
        <is>
          <t>Category</t>
        </is>
      </c>
      <c r="G14" s="64" t="inlineStr">
        <is>
          <t>Account</t>
        </is>
      </c>
      <c r="H14" s="111" t="inlineStr">
        <is>
          <t>Type</t>
        </is>
      </c>
      <c r="I14" s="69" t="inlineStr">
        <is>
          <t>Amount (৳)</t>
        </is>
      </c>
      <c r="J14" s="64" t="inlineStr">
        <is>
          <t>Balance After (৳)</t>
        </is>
      </c>
      <c r="K14" s="108" t="inlineStr">
        <is>
          <t>Ref No</t>
        </is>
      </c>
      <c r="L14" s="108" t="inlineStr">
        <is>
          <t>Notes</t>
        </is>
      </c>
      <c r="M14" s="11" t="n"/>
      <c r="N14" s="11" t="n"/>
      <c r="O14" s="11" t="n"/>
      <c r="P14" s="11" t="n"/>
    </row>
    <row r="15" ht="20" customHeight="1">
      <c r="A15" s="48" t="n">
        <v>1</v>
      </c>
      <c r="B15" s="48" t="inlineStr">
        <is>
          <t>2026-05-18</t>
        </is>
      </c>
      <c r="C15" s="48" t="inlineStr">
        <is>
          <t>Mon</t>
        </is>
      </c>
      <c r="D15" s="48" t="inlineStr">
        <is>
          <t>10:30 AM</t>
        </is>
      </c>
      <c r="E15" s="48" t="inlineStr">
        <is>
          <t>Received from home</t>
        </is>
      </c>
      <c r="F15" s="48" t="inlineStr">
        <is>
          <t>Transfer</t>
        </is>
      </c>
      <c r="G15" s="48" t="inlineStr">
        <is>
          <t>My bKash</t>
        </is>
      </c>
      <c r="H15" s="48" t="inlineStr">
        <is>
          <t>Deposit</t>
        </is>
      </c>
      <c r="I15" s="84" t="n">
        <v>2000</v>
      </c>
      <c r="J15" s="48" t="inlineStr"/>
      <c r="K15" s="48" t="inlineStr">
        <is>
          <t>TXN-1000</t>
        </is>
      </c>
      <c r="L15" s="48" t="inlineStr"/>
      <c r="M15" s="11" t="n"/>
      <c r="N15" s="11" t="n"/>
      <c r="O15" s="11" t="n"/>
      <c r="P15" s="11" t="n"/>
    </row>
    <row r="16" ht="20" customHeight="1">
      <c r="A16" s="54" t="n">
        <v>2</v>
      </c>
      <c r="B16" s="54" t="inlineStr">
        <is>
          <t>2026-05-18</t>
        </is>
      </c>
      <c r="C16" s="54" t="inlineStr">
        <is>
          <t>Mon</t>
        </is>
      </c>
      <c r="D16" s="54" t="inlineStr">
        <is>
          <t>11:00 AM</t>
        </is>
      </c>
      <c r="E16" s="54" t="inlineStr">
        <is>
          <t>Bus fare</t>
        </is>
      </c>
      <c r="F16" s="54" t="inlineStr">
        <is>
          <t>Transport</t>
        </is>
      </c>
      <c r="G16" s="54" t="inlineStr">
        <is>
          <t>Hand Cash</t>
        </is>
      </c>
      <c r="H16" s="54" t="inlineStr">
        <is>
          <t>Withdraw</t>
        </is>
      </c>
      <c r="I16" s="85" t="n">
        <v>40</v>
      </c>
      <c r="J16" s="54" t="inlineStr"/>
      <c r="K16" s="54" t="inlineStr">
        <is>
          <t>TXN-1001</t>
        </is>
      </c>
      <c r="L16" s="54" t="inlineStr"/>
      <c r="M16" s="11" t="n"/>
      <c r="N16" s="11" t="n"/>
      <c r="O16" s="11" t="n"/>
      <c r="P16" s="11" t="n"/>
    </row>
    <row r="17" ht="20" customHeight="1">
      <c r="A17" s="48" t="n">
        <v>3</v>
      </c>
      <c r="B17" s="48" t="inlineStr">
        <is>
          <t>2026-05-19</t>
        </is>
      </c>
      <c r="C17" s="48" t="inlineStr">
        <is>
          <t>Tue</t>
        </is>
      </c>
      <c r="D17" s="48" t="inlineStr">
        <is>
          <t>09:00 AM</t>
        </is>
      </c>
      <c r="E17" s="48" t="inlineStr">
        <is>
          <t>Rice purchase</t>
        </is>
      </c>
      <c r="F17" s="48" t="inlineStr">
        <is>
          <t>Food</t>
        </is>
      </c>
      <c r="G17" s="48" t="inlineStr">
        <is>
          <t>Hand Cash</t>
        </is>
      </c>
      <c r="H17" s="48" t="inlineStr">
        <is>
          <t>Withdraw</t>
        </is>
      </c>
      <c r="I17" s="83" t="n">
        <v>280</v>
      </c>
      <c r="J17" s="48" t="inlineStr"/>
      <c r="K17" s="48" t="inlineStr">
        <is>
          <t>TXN-1002</t>
        </is>
      </c>
      <c r="L17" s="48" t="inlineStr"/>
      <c r="M17" s="11" t="n"/>
      <c r="N17" s="11" t="n"/>
      <c r="O17" s="11" t="n"/>
      <c r="P17" s="11" t="n"/>
    </row>
    <row r="18" ht="20" customHeight="1">
      <c r="A18" s="54" t="n">
        <v>4</v>
      </c>
      <c r="B18" s="54" t="inlineStr">
        <is>
          <t>2026-05-19</t>
        </is>
      </c>
      <c r="C18" s="54" t="inlineStr">
        <is>
          <t>Tue</t>
        </is>
      </c>
      <c r="D18" s="54" t="inlineStr">
        <is>
          <t>03:00 PM</t>
        </is>
      </c>
      <c r="E18" s="54" t="inlineStr">
        <is>
          <t>Mobile bill</t>
        </is>
      </c>
      <c r="F18" s="54" t="inlineStr">
        <is>
          <t>Personal</t>
        </is>
      </c>
      <c r="G18" s="54" t="inlineStr">
        <is>
          <t>My bKash</t>
        </is>
      </c>
      <c r="H18" s="54" t="inlineStr">
        <is>
          <t>Withdraw</t>
        </is>
      </c>
      <c r="I18" s="85" t="n">
        <v>100</v>
      </c>
      <c r="J18" s="54" t="inlineStr"/>
      <c r="K18" s="54" t="inlineStr">
        <is>
          <t>TXN-1003</t>
        </is>
      </c>
      <c r="L18" s="54" t="inlineStr"/>
      <c r="M18" s="11" t="n"/>
      <c r="N18" s="11" t="n"/>
      <c r="O18" s="11" t="n"/>
      <c r="P18" s="11" t="n"/>
    </row>
    <row r="19" ht="20" customHeight="1">
      <c r="A19" s="48" t="n">
        <v>5</v>
      </c>
      <c r="B19" s="48" t="inlineStr">
        <is>
          <t>2026-05-20</t>
        </is>
      </c>
      <c r="C19" s="48" t="inlineStr">
        <is>
          <t>Wed</t>
        </is>
      </c>
      <c r="D19" s="48" t="inlineStr">
        <is>
          <t>08:00 AM</t>
        </is>
      </c>
      <c r="E19" s="48" t="inlineStr">
        <is>
          <t>Pocket money</t>
        </is>
      </c>
      <c r="F19" s="48" t="inlineStr">
        <is>
          <t>Transfer</t>
        </is>
      </c>
      <c r="G19" s="48" t="inlineStr">
        <is>
          <t>Hand Cash</t>
        </is>
      </c>
      <c r="H19" s="48" t="inlineStr">
        <is>
          <t>Deposit</t>
        </is>
      </c>
      <c r="I19" s="84" t="n">
        <v>500</v>
      </c>
      <c r="J19" s="48" t="inlineStr"/>
      <c r="K19" s="48" t="inlineStr">
        <is>
          <t>TXN-1004</t>
        </is>
      </c>
      <c r="L19" s="48" t="inlineStr"/>
      <c r="M19" s="11" t="n"/>
      <c r="N19" s="11" t="n"/>
      <c r="O19" s="11" t="n"/>
      <c r="P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</row>
  </sheetData>
  <mergeCells count="4">
    <mergeCell ref="A1:P1"/>
    <mergeCell ref="A10:F10"/>
    <mergeCell ref="A13:P13"/>
    <mergeCell ref="A2:P2"/>
  </mergeCells>
  <conditionalFormatting sqref="H15:H200">
    <cfRule type="expression" priority="1" dxfId="0">
      <formula>H15="Deposit"</formula>
    </cfRule>
    <cfRule type="expression" priority="2" dxfId="2">
      <formula>H15="Withdraw"</formula>
    </cfRule>
  </conditionalFormatting>
  <dataValidations count="4">
    <dataValidation sqref="H5:H20" showDropDown="0" showInputMessage="0" showErrorMessage="0" allowBlank="0" type="list">
      <formula1>"Active,Closed"</formula1>
    </dataValidation>
    <dataValidation sqref="B5:B20" showDropDown="0" showInputMessage="0" showErrorMessage="0" allowBlank="0" type="list">
      <formula1>"bKash,Bank,Nagad,Rocket,Cash,Other"</formula1>
    </dataValidation>
    <dataValidation sqref="H15:H200" showDropDown="0" showInputMessage="0" showErrorMessage="0" allowBlank="0" type="list">
      <formula1>"Deposit,Withdraw"</formula1>
    </dataValidation>
    <dataValidation sqref="G15:G200" showDropDown="0" showInputMessage="0" showErrorMessage="0" allowBlank="0" type="list">
      <formula1>"My bKash,My Bank,Nagad,Hand Cash"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D93F9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8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8" customWidth="1" min="11" max="11"/>
    <col width="12" customWidth="1" min="12" max="12"/>
    <col width="15" customWidth="1" min="13" max="13"/>
    <col width="16" customWidth="1" min="14" max="14"/>
  </cols>
  <sheetData>
    <row r="1">
      <c r="A1" s="112" t="inlineStr">
        <is>
          <t>🏆  CGPA &amp; RESULT TRACKER</t>
        </is>
      </c>
    </row>
    <row r="2">
      <c r="A2" s="30" t="inlineStr">
        <is>
          <t xml:space="preserve">  Enter marks per course, GPA auto-calculated. CGPA updates automatically.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</row>
    <row r="4" ht="26" customHeight="1">
      <c r="A4" s="113" t="inlineStr">
        <is>
          <t>Semester</t>
        </is>
      </c>
      <c r="B4" s="114" t="inlineStr">
        <is>
          <t>Course Code</t>
        </is>
      </c>
      <c r="C4" s="115" t="inlineStr">
        <is>
          <t>Course Title</t>
        </is>
      </c>
      <c r="D4" s="116" t="inlineStr">
        <is>
          <t>Credit</t>
        </is>
      </c>
      <c r="E4" s="117" t="inlineStr">
        <is>
          <t>Mid (30)</t>
        </is>
      </c>
      <c r="F4" s="117" t="inlineStr">
        <is>
          <t>Final (60)</t>
        </is>
      </c>
      <c r="G4" s="118" t="inlineStr">
        <is>
          <t>Assignment (5)</t>
        </is>
      </c>
      <c r="H4" s="119" t="inlineStr">
        <is>
          <t>Attendance (5)</t>
        </is>
      </c>
      <c r="I4" s="120" t="inlineStr">
        <is>
          <t>Total (100)</t>
        </is>
      </c>
      <c r="J4" s="121" t="inlineStr">
        <is>
          <t>GPA (4.0)</t>
        </is>
      </c>
      <c r="K4" s="122" t="inlineStr">
        <is>
          <t>Grade</t>
        </is>
      </c>
      <c r="L4" s="122" t="inlineStr">
        <is>
          <t>Grade Point</t>
        </is>
      </c>
      <c r="M4" s="121" t="inlineStr">
        <is>
          <t>Weighted Points</t>
        </is>
      </c>
      <c r="N4" s="123" t="inlineStr">
        <is>
          <t>Remarks</t>
        </is>
      </c>
    </row>
    <row r="5" ht="22" customHeight="1">
      <c r="A5" s="48" t="inlineStr">
        <is>
          <t>1st Semester</t>
        </is>
      </c>
      <c r="B5" s="45" t="inlineStr">
        <is>
          <t>CSE101</t>
        </is>
      </c>
      <c r="C5" s="48" t="inlineStr">
        <is>
          <t>Introduction to Programming</t>
        </is>
      </c>
      <c r="D5" s="48" t="n">
        <v>3</v>
      </c>
      <c r="E5" s="48" t="n">
        <v>26</v>
      </c>
      <c r="F5" s="48" t="n">
        <v>52</v>
      </c>
      <c r="G5" s="48" t="n">
        <v>4</v>
      </c>
      <c r="H5" s="124">
        <f>IFERROR(SUM($M$5:$M$50)/SUM($D$5:$D$50),0)</f>
        <v/>
      </c>
      <c r="I5" s="125">
        <f>E5+F5+G5+H5</f>
        <v/>
      </c>
      <c r="J5" s="126">
        <f>IF(I5&gt;=80,4.0,IF(I5&gt;=75,3.75,IF(I5&gt;=70,3.5,IF(I5&gt;=65,3.25,IF(I5&gt;=60,3.0,IF(I5&gt;=55,2.75,IF(I5&gt;=50,2.5,IF(I5&gt;=45,2.25,IF(I5&gt;=40,2.0,0.0)))))))))</f>
        <v/>
      </c>
      <c r="K5" s="48">
        <f>IF(I5&gt;=80,"A+",IF(I5&gt;=75,"A",IF(I5&gt;=70,"A-",IF(I5&gt;=65,"B+",IF(I5&gt;=60,"B",IF(I5&gt;=55,"B-",IF(I5&gt;=50,"C+",IF(I5&gt;=45,"C",IF(I5&gt;=40,"D","F")))))))))</f>
        <v/>
      </c>
      <c r="L5" s="48">
        <f>J5</f>
        <v/>
      </c>
      <c r="M5" s="48">
        <f>D5*J5</f>
        <v/>
      </c>
      <c r="N5" s="48" t="inlineStr"/>
    </row>
    <row r="6" ht="22" customHeight="1">
      <c r="A6" s="54" t="inlineStr">
        <is>
          <t>1st Semester</t>
        </is>
      </c>
      <c r="B6" s="51" t="inlineStr">
        <is>
          <t>MATH101</t>
        </is>
      </c>
      <c r="C6" s="54" t="inlineStr">
        <is>
          <t>Calculus I</t>
        </is>
      </c>
      <c r="D6" s="54" t="n">
        <v>3</v>
      </c>
      <c r="E6" s="54" t="n">
        <v>22</v>
      </c>
      <c r="F6" s="54" t="n">
        <v>48</v>
      </c>
      <c r="G6" s="54" t="n">
        <v>3</v>
      </c>
      <c r="H6" s="54" t="n">
        <v>5</v>
      </c>
      <c r="I6" s="127">
        <f>E6+F6+G6+H6</f>
        <v/>
      </c>
      <c r="J6" s="128">
        <f>IF(I6&gt;=80,4.0,IF(I6&gt;=75,3.75,IF(I6&gt;=70,3.5,IF(I6&gt;=65,3.25,IF(I6&gt;=60,3.0,IF(I6&gt;=55,2.75,IF(I6&gt;=50,2.5,IF(I6&gt;=45,2.25,IF(I6&gt;=40,2.0,0.0)))))))))</f>
        <v/>
      </c>
      <c r="K6" s="54">
        <f>IF(I6&gt;=80,"A+",IF(I6&gt;=75,"A",IF(I6&gt;=70,"A-",IF(I6&gt;=65,"B+",IF(I6&gt;=60,"B",IF(I6&gt;=55,"B-",IF(I6&gt;=50,"C+",IF(I6&gt;=45,"C",IF(I6&gt;=40,"D","F")))))))))</f>
        <v/>
      </c>
      <c r="L6" s="54">
        <f>J6</f>
        <v/>
      </c>
      <c r="M6" s="54">
        <f>D6*J6</f>
        <v/>
      </c>
      <c r="N6" s="54" t="inlineStr"/>
    </row>
    <row r="7" ht="22" customHeight="1">
      <c r="A7" s="48" t="inlineStr">
        <is>
          <t>1st Semester</t>
        </is>
      </c>
      <c r="B7" s="45" t="inlineStr">
        <is>
          <t>PHY101</t>
        </is>
      </c>
      <c r="C7" s="48" t="inlineStr">
        <is>
          <t>Physics I</t>
        </is>
      </c>
      <c r="D7" s="48" t="n">
        <v>3</v>
      </c>
      <c r="E7" s="48" t="n">
        <v>20</v>
      </c>
      <c r="F7" s="48" t="n">
        <v>40</v>
      </c>
      <c r="G7" s="48" t="n">
        <v>4</v>
      </c>
      <c r="H7" s="48" t="n">
        <v>4</v>
      </c>
      <c r="I7" s="125">
        <f>E7+F7+G7+H7</f>
        <v/>
      </c>
      <c r="J7" s="126">
        <f>IF(I7&gt;=80,4.0,IF(I7&gt;=75,3.75,IF(I7&gt;=70,3.5,IF(I7&gt;=65,3.25,IF(I7&gt;=60,3.0,IF(I7&gt;=55,2.75,IF(I7&gt;=50,2.5,IF(I7&gt;=45,2.25,IF(I7&gt;=40,2.0,0.0)))))))))</f>
        <v/>
      </c>
      <c r="K7" s="48">
        <f>IF(I7&gt;=80,"A+",IF(I7&gt;=75,"A",IF(I7&gt;=70,"A-",IF(I7&gt;=65,"B+",IF(I7&gt;=60,"B",IF(I7&gt;=55,"B-",IF(I7&gt;=50,"C+",IF(I7&gt;=45,"C",IF(I7&gt;=40,"D","F")))))))))</f>
        <v/>
      </c>
      <c r="L7" s="48">
        <f>J7</f>
        <v/>
      </c>
      <c r="M7" s="48">
        <f>D7*J7</f>
        <v/>
      </c>
      <c r="N7" s="48" t="inlineStr"/>
    </row>
    <row r="8" ht="22" customHeight="1">
      <c r="A8" s="54" t="inlineStr">
        <is>
          <t>1st Semester</t>
        </is>
      </c>
      <c r="B8" s="51" t="inlineStr">
        <is>
          <t>ENG101</t>
        </is>
      </c>
      <c r="C8" s="54" t="inlineStr">
        <is>
          <t>English Communication</t>
        </is>
      </c>
      <c r="D8" s="54" t="n">
        <v>2</v>
      </c>
      <c r="E8" s="54" t="n">
        <v>28</v>
      </c>
      <c r="F8" s="54" t="n">
        <v>55</v>
      </c>
      <c r="G8" s="54" t="n">
        <v>5</v>
      </c>
      <c r="H8" s="54" t="n">
        <v>5</v>
      </c>
      <c r="I8" s="127">
        <f>E8+F8+G8+H8</f>
        <v/>
      </c>
      <c r="J8" s="128">
        <f>IF(I8&gt;=80,4.0,IF(I8&gt;=75,3.75,IF(I8&gt;=70,3.5,IF(I8&gt;=65,3.25,IF(I8&gt;=60,3.0,IF(I8&gt;=55,2.75,IF(I8&gt;=50,2.5,IF(I8&gt;=45,2.25,IF(I8&gt;=40,2.0,0.0)))))))))</f>
        <v/>
      </c>
      <c r="K8" s="54">
        <f>IF(I8&gt;=80,"A+",IF(I8&gt;=75,"A",IF(I8&gt;=70,"A-",IF(I8&gt;=65,"B+",IF(I8&gt;=60,"B",IF(I8&gt;=55,"B-",IF(I8&gt;=50,"C+",IF(I8&gt;=45,"C",IF(I8&gt;=40,"D","F")))))))))</f>
        <v/>
      </c>
      <c r="L8" s="54">
        <f>J8</f>
        <v/>
      </c>
      <c r="M8" s="54">
        <f>D8*J8</f>
        <v/>
      </c>
      <c r="N8" s="54" t="inlineStr"/>
    </row>
    <row r="9" ht="22" customHeight="1">
      <c r="A9" s="48" t="inlineStr">
        <is>
          <t>2nd Semester</t>
        </is>
      </c>
      <c r="B9" s="45" t="inlineStr">
        <is>
          <t>CSE201</t>
        </is>
      </c>
      <c r="C9" s="48" t="inlineStr">
        <is>
          <t>Data Structures</t>
        </is>
      </c>
      <c r="D9" s="48" t="n">
        <v>3</v>
      </c>
      <c r="E9" s="48" t="n">
        <v>24</v>
      </c>
      <c r="F9" s="48" t="n">
        <v>50</v>
      </c>
      <c r="G9" s="48" t="n">
        <v>4</v>
      </c>
      <c r="H9" s="48" t="n">
        <v>5</v>
      </c>
      <c r="I9" s="125">
        <f>E9+F9+G9+H9</f>
        <v/>
      </c>
      <c r="J9" s="126">
        <f>IF(I9&gt;=80,4.0,IF(I9&gt;=75,3.75,IF(I9&gt;=70,3.5,IF(I9&gt;=65,3.25,IF(I9&gt;=60,3.0,IF(I9&gt;=55,2.75,IF(I9&gt;=50,2.5,IF(I9&gt;=45,2.25,IF(I9&gt;=40,2.0,0.0)))))))))</f>
        <v/>
      </c>
      <c r="K9" s="48">
        <f>IF(I9&gt;=80,"A+",IF(I9&gt;=75,"A",IF(I9&gt;=70,"A-",IF(I9&gt;=65,"B+",IF(I9&gt;=60,"B",IF(I9&gt;=55,"B-",IF(I9&gt;=50,"C+",IF(I9&gt;=45,"C",IF(I9&gt;=40,"D","F")))))))))</f>
        <v/>
      </c>
      <c r="L9" s="48">
        <f>J9</f>
        <v/>
      </c>
      <c r="M9" s="48">
        <f>D9*J9</f>
        <v/>
      </c>
      <c r="N9" s="48" t="inlineStr"/>
    </row>
    <row r="10" ht="22" customHeight="1">
      <c r="A10" s="54" t="inlineStr">
        <is>
          <t>2nd Semester</t>
        </is>
      </c>
      <c r="B10" s="51" t="inlineStr">
        <is>
          <t>MATH201</t>
        </is>
      </c>
      <c r="C10" s="54" t="inlineStr">
        <is>
          <t>Calculus II</t>
        </is>
      </c>
      <c r="D10" s="54" t="n">
        <v>3</v>
      </c>
      <c r="E10" s="54" t="n">
        <v>19</v>
      </c>
      <c r="F10" s="54" t="n">
        <v>42</v>
      </c>
      <c r="G10" s="54" t="n">
        <v>3</v>
      </c>
      <c r="H10" s="54" t="n">
        <v>4</v>
      </c>
      <c r="I10" s="127">
        <f>E10+F10+G10+H10</f>
        <v/>
      </c>
      <c r="J10" s="128">
        <f>IF(I10&gt;=80,4.0,IF(I10&gt;=75,3.75,IF(I10&gt;=70,3.5,IF(I10&gt;=65,3.25,IF(I10&gt;=60,3.0,IF(I10&gt;=55,2.75,IF(I10&gt;=50,2.5,IF(I10&gt;=45,2.25,IF(I10&gt;=40,2.0,0.0)))))))))</f>
        <v/>
      </c>
      <c r="K10" s="54">
        <f>IF(I10&gt;=80,"A+",IF(I10&gt;=75,"A",IF(I10&gt;=70,"A-",IF(I10&gt;=65,"B+",IF(I10&gt;=60,"B",IF(I10&gt;=55,"B-",IF(I10&gt;=50,"C+",IF(I10&gt;=45,"C",IF(I10&gt;=40,"D","F")))))))))</f>
        <v/>
      </c>
      <c r="L10" s="54">
        <f>J10</f>
        <v/>
      </c>
      <c r="M10" s="54">
        <f>D10*J10</f>
        <v/>
      </c>
      <c r="N10" s="54" t="inlineStr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29" t="inlineStr">
        <is>
          <t>📊 SEMESTER WISE SGPA &amp; CGPA</t>
        </is>
      </c>
    </row>
    <row r="14">
      <c r="A14" s="70" t="inlineStr">
        <is>
          <t>Semester</t>
        </is>
      </c>
      <c r="B14" s="70" t="inlineStr">
        <is>
          <t>Total Credits</t>
        </is>
      </c>
      <c r="C14" s="70" t="inlineStr">
        <is>
          <t>Total Weighted Points</t>
        </is>
      </c>
      <c r="D14" s="70" t="inlineStr">
        <is>
          <t>SGPA</t>
        </is>
      </c>
      <c r="E14" s="70" t="inlineStr">
        <is>
          <t>Running CGPA</t>
        </is>
      </c>
      <c r="F14" s="70" t="inlineStr">
        <is>
          <t>Performance</t>
        </is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30" t="inlineStr">
        <is>
          <t>1st Semester</t>
        </is>
      </c>
      <c r="B15" s="48">
        <f>SUMIF($A$5:$A$50,A15,$D$5:$D$50)</f>
        <v/>
      </c>
      <c r="C15" s="48">
        <f>SUMIF($A$5:$A$50,A15,$M$5:$M$50)</f>
        <v/>
      </c>
      <c r="D15" s="131">
        <f>IFERROR(C15/B15,0)</f>
        <v/>
      </c>
      <c r="E15" s="132">
        <f>D15</f>
        <v/>
      </c>
      <c r="F15" s="48">
        <f>IF(E15&gt;=3.75,"🌟 Excellent",IF(E15&gt;=3.5,"⭐ Very Good",IF(E15&gt;=3.0,"✅ Good",IF(E15&gt;=2.5,"📘 Average","⚠️ Below Avg"))))</f>
        <v/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33" t="inlineStr">
        <is>
          <t>2nd Semester</t>
        </is>
      </c>
      <c r="B16" s="54">
        <f>SUMIF($A$5:$A$50,A16,$D$5:$D$50)</f>
        <v/>
      </c>
      <c r="C16" s="54">
        <f>SUMIF($A$5:$A$50,A16,$M$5:$M$50)</f>
        <v/>
      </c>
      <c r="D16" s="134">
        <f>IFERROR(C16/B16,0)</f>
        <v/>
      </c>
      <c r="E16" s="135">
        <f>IFERROR(SUM($C$15:C16)/SUM($B$15:B16),0)</f>
        <v/>
      </c>
      <c r="F16" s="54">
        <f>IF(E16&gt;=3.75,"🌟 Excellent",IF(E16&gt;=3.5,"⭐ Very Good",IF(E16&gt;=3.0,"✅ Good",IF(E16&gt;=2.5,"📘 Average","⚠️ Below Avg"))))</f>
        <v/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</row>
  </sheetData>
  <mergeCells count="3">
    <mergeCell ref="A13:N13"/>
    <mergeCell ref="A2:N2"/>
    <mergeCell ref="A1:N1"/>
  </mergeCells>
  <conditionalFormatting sqref="K5:K50">
    <cfRule type="expression" priority="1" dxfId="0">
      <formula>K5="A+"</formula>
    </cfRule>
    <cfRule type="expression" priority="2" dxfId="1">
      <formula>K5="A"</formula>
    </cfRule>
    <cfRule type="expression" priority="3" dxfId="7">
      <formula>K5="A-"</formula>
    </cfRule>
    <cfRule type="expression" priority="4" dxfId="8">
      <formula>K5="B+"</formula>
    </cfRule>
    <cfRule type="expression" priority="5" dxfId="9">
      <formula>K5="B"</formula>
    </cfRule>
    <cfRule type="expression" priority="6" dxfId="2">
      <formula>K5="F"</formula>
    </cfRule>
  </conditionalFormatting>
  <dataValidations count="2">
    <dataValidation sqref="E5:H50" showDropDown="0" showInputMessage="0" showErrorMessage="0" allowBlank="0" type="decimal" operator="between">
      <formula1>0</formula1>
      <formula2>100</formula2>
    </dataValidation>
    <dataValidation sqref="E5:H50" showDropDown="0" showInputMessage="0" showErrorMessage="0" allowBlank="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79C6"/>
    <outlinePr summaryBelow="1" summaryRight="1"/>
    <pageSetUpPr/>
  </sheetPr>
  <dimension ref="A1:AI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6" t="inlineStr">
        <is>
          <t>📅  ATTENDANCE CALENDAR — MAY 2026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</row>
    <row r="3">
      <c r="A3" s="137" t="inlineStr">
        <is>
          <t>Sun</t>
        </is>
      </c>
      <c r="B3" s="137" t="inlineStr">
        <is>
          <t>Mon</t>
        </is>
      </c>
      <c r="C3" s="137" t="inlineStr">
        <is>
          <t>Tue</t>
        </is>
      </c>
      <c r="D3" s="137" t="inlineStr">
        <is>
          <t>Wed</t>
        </is>
      </c>
      <c r="E3" s="137" t="inlineStr">
        <is>
          <t>Thu</t>
        </is>
      </c>
      <c r="F3" s="137" t="inlineStr">
        <is>
          <t>Fri</t>
        </is>
      </c>
      <c r="G3" s="137" t="inlineStr">
        <is>
          <t>Sat</t>
        </is>
      </c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4" ht="16" customHeight="1">
      <c r="A4" s="11" t="n"/>
      <c r="B4" s="11" t="n"/>
      <c r="C4" s="11" t="n"/>
      <c r="D4" s="11" t="n"/>
      <c r="E4" s="138" t="n">
        <v>1</v>
      </c>
      <c r="F4" s="138" t="n">
        <v>2</v>
      </c>
      <c r="G4" s="138" t="n">
        <v>3</v>
      </c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</row>
    <row r="6" ht="14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</row>
    <row r="7" ht="14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</row>
    <row r="8" ht="4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</row>
    <row r="9" ht="16" customHeight="1">
      <c r="A9" s="138" t="n">
        <v>4</v>
      </c>
      <c r="B9" s="138" t="n">
        <v>5</v>
      </c>
      <c r="C9" s="138" t="n">
        <v>6</v>
      </c>
      <c r="D9" s="138" t="n">
        <v>7</v>
      </c>
      <c r="E9" s="138" t="n">
        <v>8</v>
      </c>
      <c r="F9" s="138" t="n">
        <v>9</v>
      </c>
      <c r="G9" s="138" t="n">
        <v>10</v>
      </c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</row>
    <row r="10" ht="14" customHeight="1">
      <c r="A10" s="11" t="n"/>
      <c r="B10" s="139" t="inlineStr">
        <is>
          <t>CSE101</t>
        </is>
      </c>
      <c r="C10" s="11" t="n"/>
      <c r="D10" s="139" t="inlineStr">
        <is>
          <t>CSE101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 ht="14" customHeight="1">
      <c r="A11" s="11" t="n"/>
      <c r="B11" s="139" t="inlineStr">
        <is>
          <t>MATH101</t>
        </is>
      </c>
      <c r="C11" s="11" t="n"/>
      <c r="D11" s="140" t="inlineStr">
        <is>
          <t>PHY101</t>
        </is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</row>
    <row r="12" ht="14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</row>
    <row r="13" ht="4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 ht="16" customHeight="1">
      <c r="A14" s="138" t="n">
        <v>11</v>
      </c>
      <c r="B14" s="138" t="n">
        <v>12</v>
      </c>
      <c r="C14" s="138" t="n">
        <v>13</v>
      </c>
      <c r="D14" s="138" t="n">
        <v>14</v>
      </c>
      <c r="E14" s="138" t="n">
        <v>15</v>
      </c>
      <c r="F14" s="138" t="n">
        <v>16</v>
      </c>
      <c r="G14" s="138" t="n">
        <v>17</v>
      </c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</row>
    <row r="15" ht="14" customHeight="1">
      <c r="A15" s="11" t="n"/>
      <c r="B15" s="139" t="inlineStr">
        <is>
          <t>MATH101</t>
        </is>
      </c>
      <c r="C15" s="11" t="n"/>
      <c r="D15" s="140" t="inlineStr">
        <is>
          <t>CSE101</t>
        </is>
      </c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</row>
    <row r="16" ht="14" customHeight="1">
      <c r="A16" s="11" t="n"/>
      <c r="B16" s="139" t="inlineStr">
        <is>
          <t>CSE201</t>
        </is>
      </c>
      <c r="C16" s="11" t="n"/>
      <c r="D16" s="139" t="inlineStr">
        <is>
          <t>CSE201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</row>
    <row r="17" ht="14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</row>
    <row r="18" ht="4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</row>
    <row r="19" ht="16" customHeight="1">
      <c r="A19" s="138" t="n">
        <v>18</v>
      </c>
      <c r="B19" s="138" t="n">
        <v>19</v>
      </c>
      <c r="C19" s="141" t="n">
        <v>20</v>
      </c>
      <c r="D19" s="138" t="n">
        <v>21</v>
      </c>
      <c r="E19" s="138" t="n">
        <v>22</v>
      </c>
      <c r="F19" s="138" t="n">
        <v>23</v>
      </c>
      <c r="G19" s="138" t="n">
        <v>24</v>
      </c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</row>
    <row r="20" ht="14" customHeight="1">
      <c r="A20" s="11" t="n"/>
      <c r="B20" s="139" t="inlineStr">
        <is>
          <t>MATH101</t>
        </is>
      </c>
      <c r="C20" s="139" t="inlineStr">
        <is>
          <t>CSE101</t>
        </is>
      </c>
      <c r="D20" s="140" t="inlineStr">
        <is>
          <t>CSE201</t>
        </is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</row>
    <row r="21" ht="14" customHeight="1">
      <c r="A21" s="11" t="n"/>
      <c r="B21" s="11" t="n"/>
      <c r="C21" s="139" t="inlineStr">
        <is>
          <t>PHY101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 ht="14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</row>
    <row r="23" ht="4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</row>
    <row r="24" ht="16" customHeight="1">
      <c r="A24" s="138" t="n">
        <v>25</v>
      </c>
      <c r="B24" s="138" t="n">
        <v>26</v>
      </c>
      <c r="C24" s="138" t="n">
        <v>27</v>
      </c>
      <c r="D24" s="138" t="n">
        <v>28</v>
      </c>
      <c r="E24" s="138" t="n">
        <v>29</v>
      </c>
      <c r="F24" s="138" t="n">
        <v>30</v>
      </c>
      <c r="G24" s="138" t="n">
        <v>31</v>
      </c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 ht="14" customHeight="1">
      <c r="A25" s="11" t="n"/>
      <c r="B25" s="139" t="inlineStr">
        <is>
          <t>CSE101</t>
        </is>
      </c>
      <c r="C25" s="11" t="n"/>
      <c r="D25" s="139" t="inlineStr">
        <is>
          <t>CSE201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</row>
    <row r="26" ht="14" customHeight="1">
      <c r="A26" s="11" t="n"/>
      <c r="B26" s="139" t="inlineStr">
        <is>
          <t>MATH101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4" customHeight="1">
      <c r="A27" s="11" t="n"/>
      <c r="B27" s="139" t="inlineStr">
        <is>
          <t>PHY101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</row>
    <row r="28" ht="4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</row>
    <row r="30">
      <c r="A30" s="142" t="inlineStr">
        <is>
          <t>🟢 Green = Present   🔴 Red = Absent   🔵 Blue highlight = Today</t>
        </is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</row>
  </sheetData>
  <mergeCells count="2">
    <mergeCell ref="A30:G30"/>
    <mergeCell ref="A1:A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1C40F"/>
    <outlinePr summaryBelow="1" summaryRight="1"/>
    <pageSetUpPr/>
  </sheetPr>
  <dimension ref="A1:L8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13" customWidth="1" min="4" max="4"/>
    <col width="12" customWidth="1" min="5" max="5"/>
    <col width="14" customWidth="1" min="6" max="6"/>
    <col width="14" customWidth="1" min="7" max="7"/>
    <col width="16" customWidth="1" min="8" max="8"/>
    <col width="13" customWidth="1" min="9" max="9"/>
    <col width="16" customWidth="1" min="10" max="10"/>
    <col width="20" customWidth="1" min="11" max="11"/>
    <col width="10" customWidth="1" min="12" max="12"/>
  </cols>
  <sheetData>
    <row r="1">
      <c r="A1" s="143" t="inlineStr">
        <is>
          <t>📑  REGISTRATION FEE MANAGER</t>
        </is>
      </c>
    </row>
    <row r="2">
      <c r="A2" s="30" t="inlineStr">
        <is>
          <t xml:space="preserve">  Track all semester registration fees, payment status and due amounts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</row>
    <row r="4" ht="26" customHeight="1">
      <c r="A4" s="32" t="inlineStr">
        <is>
          <t>#</t>
        </is>
      </c>
      <c r="B4" s="38" t="inlineStr">
        <is>
          <t>Semester</t>
        </is>
      </c>
      <c r="C4" s="33" t="inlineStr">
        <is>
          <t>Fee Type</t>
        </is>
      </c>
      <c r="D4" s="41" t="inlineStr">
        <is>
          <t>Amount (৳)</t>
        </is>
      </c>
      <c r="E4" s="42" t="inlineStr">
        <is>
          <t>Due Date</t>
        </is>
      </c>
      <c r="F4" s="34" t="inlineStr">
        <is>
          <t>Payment Date</t>
        </is>
      </c>
      <c r="G4" s="35" t="inlineStr">
        <is>
          <t>Payment Status</t>
        </is>
      </c>
      <c r="H4" s="40" t="inlineStr">
        <is>
          <t>Payment Method</t>
        </is>
      </c>
      <c r="I4" s="37" t="inlineStr">
        <is>
          <t>Receipt No</t>
        </is>
      </c>
      <c r="J4" s="36" t="inlineStr">
        <is>
          <t>Bank/Account</t>
        </is>
      </c>
      <c r="K4" s="32" t="inlineStr">
        <is>
          <t>Notes</t>
        </is>
      </c>
      <c r="L4" s="42" t="inlineStr">
        <is>
          <t>Penalty</t>
        </is>
      </c>
    </row>
    <row r="5" ht="20" customHeight="1">
      <c r="A5" s="48" t="n">
        <v>1</v>
      </c>
      <c r="B5" s="48" t="inlineStr">
        <is>
          <t>1st Semester</t>
        </is>
      </c>
      <c r="C5" s="48" t="inlineStr">
        <is>
          <t>Hall Fee</t>
        </is>
      </c>
      <c r="D5" s="90" t="n">
        <v>2500</v>
      </c>
      <c r="E5" s="48" t="inlineStr">
        <is>
          <t>2024-02-01</t>
        </is>
      </c>
      <c r="F5" s="48" t="inlineStr">
        <is>
          <t>2024-01-28</t>
        </is>
      </c>
      <c r="G5" s="48" t="inlineStr">
        <is>
          <t>Paid</t>
        </is>
      </c>
      <c r="H5" s="48" t="inlineStr">
        <is>
          <t>Bank</t>
        </is>
      </c>
      <c r="I5" s="48" t="inlineStr">
        <is>
          <t>RCP-1000</t>
        </is>
      </c>
      <c r="J5" s="48" t="inlineStr"/>
      <c r="K5" s="48" t="inlineStr"/>
      <c r="L5" s="48" t="n">
        <v>0</v>
      </c>
    </row>
    <row r="6" ht="20" customHeight="1">
      <c r="A6" s="54" t="n">
        <v>2</v>
      </c>
      <c r="B6" s="54" t="inlineStr">
        <is>
          <t>1st Semester</t>
        </is>
      </c>
      <c r="C6" s="54" t="inlineStr">
        <is>
          <t>Faculty Fee</t>
        </is>
      </c>
      <c r="D6" s="92" t="n">
        <v>3000</v>
      </c>
      <c r="E6" s="54" t="inlineStr">
        <is>
          <t>2024-02-01</t>
        </is>
      </c>
      <c r="F6" s="54" t="inlineStr">
        <is>
          <t>2024-01-28</t>
        </is>
      </c>
      <c r="G6" s="54" t="inlineStr">
        <is>
          <t>Paid</t>
        </is>
      </c>
      <c r="H6" s="54" t="inlineStr">
        <is>
          <t>Bank</t>
        </is>
      </c>
      <c r="I6" s="54" t="inlineStr">
        <is>
          <t>RCP-1001</t>
        </is>
      </c>
      <c r="J6" s="54" t="inlineStr"/>
      <c r="K6" s="54" t="inlineStr"/>
      <c r="L6" s="54" t="n">
        <v>0</v>
      </c>
    </row>
    <row r="7" ht="20" customHeight="1">
      <c r="A7" s="48" t="n">
        <v>3</v>
      </c>
      <c r="B7" s="48" t="inlineStr">
        <is>
          <t>1st Semester</t>
        </is>
      </c>
      <c r="C7" s="48" t="inlineStr">
        <is>
          <t>Library Fee</t>
        </is>
      </c>
      <c r="D7" s="90" t="n">
        <v>500</v>
      </c>
      <c r="E7" s="48" t="inlineStr">
        <is>
          <t>2024-02-01</t>
        </is>
      </c>
      <c r="F7" s="48" t="inlineStr">
        <is>
          <t>2024-01-28</t>
        </is>
      </c>
      <c r="G7" s="48" t="inlineStr">
        <is>
          <t>Paid</t>
        </is>
      </c>
      <c r="H7" s="48" t="inlineStr">
        <is>
          <t>Bank</t>
        </is>
      </c>
      <c r="I7" s="48" t="inlineStr">
        <is>
          <t>RCP-1002</t>
        </is>
      </c>
      <c r="J7" s="48" t="inlineStr"/>
      <c r="K7" s="48" t="inlineStr"/>
      <c r="L7" s="48" t="n">
        <v>0</v>
      </c>
    </row>
    <row r="8" ht="20" customHeight="1">
      <c r="A8" s="54" t="n">
        <v>4</v>
      </c>
      <c r="B8" s="54" t="inlineStr">
        <is>
          <t>2nd Semester</t>
        </is>
      </c>
      <c r="C8" s="54" t="inlineStr">
        <is>
          <t>Hall Fee</t>
        </is>
      </c>
      <c r="D8" s="92" t="n">
        <v>2500</v>
      </c>
      <c r="E8" s="54" t="inlineStr">
        <is>
          <t>2024-08-01</t>
        </is>
      </c>
      <c r="F8" s="54" t="inlineStr">
        <is>
          <t>2024-07-30</t>
        </is>
      </c>
      <c r="G8" s="54" t="inlineStr">
        <is>
          <t>Paid</t>
        </is>
      </c>
      <c r="H8" s="54" t="inlineStr">
        <is>
          <t>Bank</t>
        </is>
      </c>
      <c r="I8" s="54" t="inlineStr">
        <is>
          <t>RCP-1003</t>
        </is>
      </c>
      <c r="J8" s="54" t="inlineStr"/>
      <c r="K8" s="54" t="inlineStr"/>
      <c r="L8" s="54" t="n">
        <v>0</v>
      </c>
    </row>
    <row r="9" ht="20" customHeight="1">
      <c r="A9" s="48" t="n">
        <v>5</v>
      </c>
      <c r="B9" s="48" t="inlineStr">
        <is>
          <t>2nd Semester</t>
        </is>
      </c>
      <c r="C9" s="48" t="inlineStr">
        <is>
          <t>Faculty Fee</t>
        </is>
      </c>
      <c r="D9" s="90" t="n">
        <v>3000</v>
      </c>
      <c r="E9" s="48" t="inlineStr">
        <is>
          <t>2024-08-01</t>
        </is>
      </c>
      <c r="F9" s="48" t="inlineStr">
        <is>
          <t>2024-07-30</t>
        </is>
      </c>
      <c r="G9" s="48" t="inlineStr">
        <is>
          <t>Paid</t>
        </is>
      </c>
      <c r="H9" s="48" t="inlineStr">
        <is>
          <t>Bank</t>
        </is>
      </c>
      <c r="I9" s="48" t="inlineStr">
        <is>
          <t>RCP-1004</t>
        </is>
      </c>
      <c r="J9" s="48" t="inlineStr"/>
      <c r="K9" s="48" t="inlineStr"/>
      <c r="L9" s="48" t="n">
        <v>0</v>
      </c>
    </row>
    <row r="10" ht="20" customHeight="1">
      <c r="A10" s="54" t="n">
        <v>6</v>
      </c>
      <c r="B10" s="54" t="inlineStr">
        <is>
          <t>3rd Semester</t>
        </is>
      </c>
      <c r="C10" s="54" t="inlineStr">
        <is>
          <t>Hall Fee</t>
        </is>
      </c>
      <c r="D10" s="92" t="n">
        <v>2500</v>
      </c>
      <c r="E10" s="54" t="inlineStr">
        <is>
          <t>2025-02-01</t>
        </is>
      </c>
      <c r="F10" s="54" t="inlineStr"/>
      <c r="G10" s="54" t="inlineStr">
        <is>
          <t>Pending</t>
        </is>
      </c>
      <c r="H10" s="54" t="inlineStr"/>
      <c r="I10" s="54" t="inlineStr"/>
      <c r="J10" s="54" t="inlineStr"/>
      <c r="K10" s="54" t="inlineStr"/>
      <c r="L10" s="54" t="n">
        <v>0</v>
      </c>
    </row>
    <row r="11" ht="20" customHeight="1">
      <c r="A11" s="48" t="n">
        <v>7</v>
      </c>
      <c r="B11" s="48" t="inlineStr">
        <is>
          <t>3rd Semester</t>
        </is>
      </c>
      <c r="C11" s="48" t="inlineStr">
        <is>
          <t>Faculty Fee</t>
        </is>
      </c>
      <c r="D11" s="90" t="n">
        <v>3200</v>
      </c>
      <c r="E11" s="48" t="inlineStr">
        <is>
          <t>2025-02-01</t>
        </is>
      </c>
      <c r="F11" s="48" t="inlineStr"/>
      <c r="G11" s="48" t="inlineStr">
        <is>
          <t>Pending</t>
        </is>
      </c>
      <c r="H11" s="48" t="inlineStr"/>
      <c r="I11" s="48" t="inlineStr"/>
      <c r="J11" s="48" t="inlineStr"/>
      <c r="K11" s="48" t="inlineStr"/>
      <c r="L11" s="48" t="n">
        <v>0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105" t="inlineStr">
        <is>
          <t>TOTAL FEES</t>
        </is>
      </c>
      <c r="D13" s="144">
        <f>SUM(D5:D11)</f>
        <v/>
      </c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>
      <c r="A14" s="145" t="inlineStr">
        <is>
          <t>PAID</t>
        </is>
      </c>
      <c r="D14" s="146">
        <f>SUMIF(G5:G11,"Paid",D5:D11)</f>
        <v/>
      </c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>
      <c r="A15" s="147" t="inlineStr">
        <is>
          <t>DUE / PENDING</t>
        </is>
      </c>
      <c r="D15" s="148">
        <f>SUMIF(G5:G11,"Pending",D5:D11)</f>
        <v/>
      </c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</row>
  </sheetData>
  <mergeCells count="5">
    <mergeCell ref="A2:L2"/>
    <mergeCell ref="A13:C13"/>
    <mergeCell ref="A14:C14"/>
    <mergeCell ref="A1:L1"/>
    <mergeCell ref="A15:C15"/>
  </mergeCells>
  <conditionalFormatting sqref="G5:G80">
    <cfRule type="expression" priority="1" dxfId="0">
      <formula>G5="Paid"</formula>
    </cfRule>
    <cfRule type="expression" priority="2" dxfId="4">
      <formula>G5="Pending"</formula>
    </cfRule>
    <cfRule type="expression" priority="3" dxfId="2">
      <formula>G5="Overdue"</formula>
    </cfRule>
  </conditionalFormatting>
  <dataValidations count="2">
    <dataValidation sqref="G5:G80" showDropDown="0" showInputMessage="0" showErrorMessage="0" allowBlank="0" type="list">
      <formula1>"Paid,Pending,Overdue,Partial"</formula1>
    </dataValidation>
    <dataValidation sqref="B5:B80" showDropDown="0" showInputMessage="0" showErrorMessage="0" allowBlank="0" type="list">
      <formula1>"1st Semester,2nd Semester,3rd Semester,4th Semester,5th Semester,6th Semester,7th Semester,8th Semester"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BC9C"/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49" t="inlineStr">
        <is>
          <t>👤  STUDENT PROFILE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 ht="24" customHeight="1">
      <c r="A3" s="150" t="inlineStr">
        <is>
          <t xml:space="preserve">  Full Name:</t>
        </is>
      </c>
      <c r="D3" s="151" t="inlineStr">
        <is>
          <t>SHOVON</t>
        </is>
      </c>
    </row>
    <row r="4" ht="24" customHeight="1">
      <c r="A4" s="150" t="inlineStr">
        <is>
          <t xml:space="preserve">  Student ID:</t>
        </is>
      </c>
      <c r="D4" s="152" t="inlineStr">
        <is>
          <t>20XXXXXXX</t>
        </is>
      </c>
    </row>
    <row r="5" ht="24" customHeight="1">
      <c r="A5" s="150" t="inlineStr">
        <is>
          <t xml:space="preserve">  Registration No:</t>
        </is>
      </c>
      <c r="D5" s="153" t="inlineStr">
        <is>
          <t>2020-XXXXX</t>
        </is>
      </c>
    </row>
    <row r="6" ht="24" customHeight="1">
      <c r="A6" s="150" t="inlineStr">
        <is>
          <t xml:space="preserve">  Session:</t>
        </is>
      </c>
      <c r="D6" s="154" t="inlineStr">
        <is>
          <t>2020-21</t>
        </is>
      </c>
    </row>
    <row r="7" ht="24" customHeight="1">
      <c r="A7" s="150" t="inlineStr">
        <is>
          <t xml:space="preserve">  Department:</t>
        </is>
      </c>
      <c r="D7" s="155" t="inlineStr">
        <is>
          <t>CSE</t>
        </is>
      </c>
    </row>
    <row r="8" ht="24" customHeight="1">
      <c r="A8" s="150" t="inlineStr">
        <is>
          <t xml:space="preserve">  Faculty:</t>
        </is>
      </c>
      <c r="D8" s="156" t="inlineStr">
        <is>
          <t>Engineering</t>
        </is>
      </c>
    </row>
    <row r="9" ht="24" customHeight="1">
      <c r="A9" s="150" t="inlineStr">
        <is>
          <t xml:space="preserve">  University:</t>
        </is>
      </c>
      <c r="D9" s="157" t="inlineStr">
        <is>
          <t>My University</t>
        </is>
      </c>
    </row>
    <row r="10" ht="24" customHeight="1">
      <c r="A10" s="150" t="inlineStr">
        <is>
          <t xml:space="preserve">  Semester:</t>
        </is>
      </c>
      <c r="D10" s="158" t="inlineStr">
        <is>
          <t>3rd Semester</t>
        </is>
      </c>
    </row>
    <row r="11" ht="24" customHeight="1">
      <c r="A11" s="150" t="inlineStr">
        <is>
          <t xml:space="preserve">  Email:</t>
        </is>
      </c>
      <c r="D11" s="159" t="inlineStr">
        <is>
          <t>shovon@email.com</t>
        </is>
      </c>
    </row>
    <row r="12" ht="24" customHeight="1">
      <c r="A12" s="150" t="inlineStr">
        <is>
          <t xml:space="preserve">  Phone:</t>
        </is>
      </c>
      <c r="D12" s="160" t="inlineStr">
        <is>
          <t>+880-XXXXXXXXX</t>
        </is>
      </c>
    </row>
    <row r="13" ht="24" customHeight="1">
      <c r="A13" s="150" t="inlineStr">
        <is>
          <t xml:space="preserve">  Hall/Hostel:</t>
        </is>
      </c>
      <c r="D13" s="153" t="inlineStr">
        <is>
          <t>Hall Name</t>
        </is>
      </c>
    </row>
    <row r="14" ht="24" customHeight="1">
      <c r="A14" s="150" t="inlineStr">
        <is>
          <t xml:space="preserve">  Advisor:</t>
        </is>
      </c>
      <c r="D14" s="151" t="inlineStr">
        <is>
          <t>Dr. Someone</t>
        </is>
      </c>
    </row>
    <row r="15" ht="24" customHeight="1">
      <c r="A15" s="150" t="inlineStr">
        <is>
          <t xml:space="preserve">  Date of Birth:</t>
        </is>
      </c>
      <c r="D15" s="161" t="inlineStr"/>
    </row>
    <row r="16" ht="24" customHeight="1">
      <c r="A16" s="150" t="inlineStr">
        <is>
          <t xml:space="preserve">  Blood Group:</t>
        </is>
      </c>
      <c r="D16" s="162" t="inlineStr">
        <is>
          <t>B+</t>
        </is>
      </c>
    </row>
    <row r="17" ht="24" customHeight="1">
      <c r="A17" s="150" t="inlineStr">
        <is>
          <t xml:space="preserve">  Address:</t>
        </is>
      </c>
      <c r="D17" s="161" t="inlineStr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</sheetData>
  <mergeCells count="31">
    <mergeCell ref="D4:J4"/>
    <mergeCell ref="D3:J3"/>
    <mergeCell ref="D9:J9"/>
    <mergeCell ref="D12:J12"/>
    <mergeCell ref="D8:J8"/>
    <mergeCell ref="A3:C3"/>
    <mergeCell ref="A12:C12"/>
    <mergeCell ref="D15:J15"/>
    <mergeCell ref="D5:J5"/>
    <mergeCell ref="D14:J14"/>
    <mergeCell ref="A5:C5"/>
    <mergeCell ref="A8:C8"/>
    <mergeCell ref="A14:C14"/>
    <mergeCell ref="A17:C17"/>
    <mergeCell ref="D10:J10"/>
    <mergeCell ref="A4:C4"/>
    <mergeCell ref="A10:C10"/>
    <mergeCell ref="A1:J1"/>
    <mergeCell ref="A13:C13"/>
    <mergeCell ref="D6:J6"/>
    <mergeCell ref="A9:C9"/>
    <mergeCell ref="A15:C15"/>
    <mergeCell ref="D11:J11"/>
    <mergeCell ref="D13:J13"/>
    <mergeCell ref="A11:C11"/>
    <mergeCell ref="D17:J17"/>
    <mergeCell ref="A6:C6"/>
    <mergeCell ref="D7:J7"/>
    <mergeCell ref="D16:J1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2026-05-20T18:29:34Z</dcterms:created>
  <dcterms:modified xsi:type="dcterms:W3CDTF">2026-05-20T18:29:34Z</dcterms:modified>
</cp:coreProperties>
</file>